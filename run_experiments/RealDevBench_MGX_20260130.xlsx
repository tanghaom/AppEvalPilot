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0"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0" customWidth="1"/>
    <col min="11" max="11" width="19" customWidth="1"/>
    <col min="12" max="12" width="19" customWidth="1"/>
    <col min="13" max="13" width="19" customWidth="1"/>
    <col min="14" max="14" width="19" customWidth="1"/>
    <col min="15" max="15" width="19" customWidth="1"/>
  </cols>
  <sheetData>
    <row r="1" ht="13" customHeight="1">
      <c r="A1" s="1" t="inlineStr">
        <is>
          <t>case_name</t>
        </is>
      </c>
      <c r="B1" s="1" t="inlineStr">
        <is>
          <t>case_id</t>
        </is>
      </c>
      <c r="C1" s="1" t="inlineStr">
        <is>
          <t>A角负责人</t>
        </is>
      </c>
      <c r="D1" s="1" t="inlineStr">
        <is>
          <t>A 角分数</t>
        </is>
      </c>
      <c r="E1" s="1" t="inlineStr">
        <is>
          <t>A 角0分原因</t>
        </is>
      </c>
      <c r="F1" s="1" t="inlineStr">
        <is>
          <t>B角负责人</t>
        </is>
      </c>
      <c r="G1" s="1" t="inlineStr">
        <is>
          <t>B角分数</t>
        </is>
      </c>
      <c r="H1" s="1" t="inlineStr">
        <is>
          <t>B角0分原因</t>
        </is>
      </c>
      <c r="I1" s="1" t="inlineStr">
        <is>
          <t>test_id</t>
        </is>
      </c>
      <c r="J1" s="1" t="inlineStr">
        <is>
          <t>test_case</t>
        </is>
      </c>
      <c r="K1" s="1" t="inlineStr">
        <is>
          <t>测试点</t>
        </is>
      </c>
      <c r="L1" s="1" t="inlineStr">
        <is>
          <t>web_url</t>
        </is>
      </c>
      <c r="M1" s="1" t="inlineStr">
        <is>
          <t>prod_id</t>
        </is>
      </c>
      <c r="N1" s="1" t="inlineStr">
        <is>
          <t>email</t>
        </is>
      </c>
      <c r="O1" s="1" t="inlineStr">
        <is>
          <t>chat_id</t>
        </is>
      </c>
    </row>
    <row r="2" ht="25.5" customHeight="1">
      <c r="A2" t="inlineStr">
        <is>
          <t>3D Showcase</t>
        </is>
      </c>
      <c r="B2">
        <v>1</v>
      </c>
      <c r="C2" t="inlineStr">
        <is>
          <t>@杨春玉</t>
        </is>
      </c>
      <c r="D2">
        <v>1</v>
      </c>
      <c r="E2"/>
      <c r="F2" t="inlineStr">
        <is>
          <t>@陈佳杰</t>
        </is>
      </c>
      <c r="G2">
        <v>1</v>
      </c>
      <c r="H2"/>
      <c r="I2">
        <v>1</v>
      </c>
      <c r="J2" t="inlineStr">
        <is>
          <t>Check if information cards update correctly when switching between works</t>
        </is>
      </c>
      <c r="K2" t="inlineStr">
        <is>
          <t>检查切换作品时信息卡片是否正确更新</t>
        </is>
      </c>
      <c r="L2" s="2" t="str">
        <f>=HYPERLINK("http://pre.mgx.dev/chat/e9937ea628414596a587feaa03676d4a", "http://pre.mgx.dev/chat/e9937ea628414596a587feaa03676d4a")</f>
        <v>http://pre.mgx.dev/chat/e9937ea628414596a587feaa03676d4a</v>
      </c>
      <c r="M2" s="2" t="str">
        <f>=HYPERLINK("https://45781-e9937ea628414596a587feaa03676d4a-3-latest.app.beta.mgx.dev", "https://45781-e9937ea628414596a587feaa03676d4a-3-latest.app.beta.mgx.dev")</f>
        <v>https://45781-e9937ea628414596a587feaa03676d4a-3-latest.app.beta.mgx.dev</v>
      </c>
      <c r="N2" s="2" t="str">
        <f>=HYPERLINK("mailto:eval_71@auto.com", "eval_71@auto.com")</f>
        <v>eval_71@auto.com</v>
      </c>
      <c r="O2" t="inlineStr">
        <is>
          <t>e9937ea628414596a587feaa03676d4a</t>
        </is>
      </c>
    </row>
    <row r="3" ht="25.5" customHeight="1">
      <c r="A3" t="inlineStr">
        <is>
          <t>3D Showcase</t>
        </is>
      </c>
      <c r="B3">
        <v>1</v>
      </c>
      <c r="C3" t="inlineStr">
        <is>
          <t>@杨春玉</t>
        </is>
      </c>
      <c r="D3">
        <v>0</v>
      </c>
      <c r="E3" t="inlineStr">
        <is>
          <t>无法新增作品且无缩略图导航</t>
        </is>
      </c>
      <c r="F3" t="inlineStr">
        <is>
          <t>@陈佳杰</t>
        </is>
      </c>
      <c r="G3">
        <v>0</v>
      </c>
      <c r="H3" t="inlineStr">
        <is>
          <t>无缩略图</t>
        </is>
      </c>
      <c r="I3">
        <v>2</v>
      </c>
      <c r="J3" t="inlineStr">
        <is>
          <t>Check if thumbnail navigation updates when new works are added</t>
        </is>
      </c>
      <c r="K3" t="inlineStr">
        <is>
          <t>检查新增作品时缩略图导航是否更新</t>
        </is>
      </c>
      <c r="L3" s="2" t="str">
        <f>=HYPERLINK("http://pre.mgx.dev/chat/e9937ea628414596a587feaa03676d4a", "http://pre.mgx.dev/chat/e9937ea628414596a587feaa03676d4a")</f>
        <v>http://pre.mgx.dev/chat/e9937ea628414596a587feaa03676d4a</v>
      </c>
      <c r="M3" s="2" t="str">
        <f>=HYPERLINK("https://45781-e9937ea628414596a587feaa03676d4a-3-latest.app.beta.mgx.dev", "https://45781-e9937ea628414596a587feaa03676d4a-3-latest.app.beta.mgx.dev")</f>
        <v>https://45781-e9937ea628414596a587feaa03676d4a-3-latest.app.beta.mgx.dev</v>
      </c>
      <c r="N3" s="2" t="str">
        <f>=HYPERLINK("mailto:eval_71@auto.com", "eval_71@auto.com")</f>
        <v>eval_71@auto.com</v>
      </c>
      <c r="O3" t="inlineStr">
        <is>
          <t>e9937ea628414596a587feaa03676d4a</t>
        </is>
      </c>
    </row>
    <row r="4" ht="25.5" customHeight="1">
      <c r="A4" t="inlineStr">
        <is>
          <t>3D Showcase</t>
        </is>
      </c>
      <c r="B4">
        <v>1</v>
      </c>
      <c r="C4" t="inlineStr">
        <is>
          <t>@杨春玉</t>
        </is>
      </c>
      <c r="D4">
        <v>0</v>
      </c>
      <c r="E4" t="inlineStr">
        <is>
          <t>3D模型显示失败</t>
        </is>
      </c>
      <c r="F4" t="inlineStr">
        <is>
          <t>@陈佳杰</t>
        </is>
      </c>
      <c r="G4">
        <v>0</v>
      </c>
      <c r="H4" t="inlineStr">
        <is>
          <t>3D模型显示失败</t>
        </is>
      </c>
      <c r="I4">
        <v>3</v>
      </c>
      <c r="J4" t="inlineStr">
        <is>
          <t>Check zoom in/out functionality for 3D models</t>
        </is>
      </c>
      <c r="K4" t="inlineStr">
        <is>
          <t>检查3D模型的放大/缩小功能</t>
        </is>
      </c>
      <c r="L4" s="2" t="str">
        <f>=HYPERLINK("http://pre.mgx.dev/chat/e9937ea628414596a587feaa03676d4a", "http://pre.mgx.dev/chat/e9937ea628414596a587feaa03676d4a")</f>
        <v>http://pre.mgx.dev/chat/e9937ea628414596a587feaa03676d4a</v>
      </c>
      <c r="M4" s="2" t="str">
        <f>=HYPERLINK("https://45781-e9937ea628414596a587feaa03676d4a-3-latest.app.beta.mgx.dev", "https://45781-e9937ea628414596a587feaa03676d4a-3-latest.app.beta.mgx.dev")</f>
        <v>https://45781-e9937ea628414596a587feaa03676d4a-3-latest.app.beta.mgx.dev</v>
      </c>
      <c r="N4" s="2" t="str">
        <f>=HYPERLINK("mailto:eval_71@auto.com", "eval_71@auto.com")</f>
        <v>eval_71@auto.com</v>
      </c>
      <c r="O4" t="inlineStr">
        <is>
          <t>e9937ea628414596a587feaa03676d4a</t>
        </is>
      </c>
    </row>
    <row r="5" ht="25.5" customHeight="1">
      <c r="A5" t="inlineStr">
        <is>
          <t>3D Showcase</t>
        </is>
      </c>
      <c r="B5">
        <v>1</v>
      </c>
      <c r="C5" t="inlineStr">
        <is>
          <t>@杨春玉</t>
        </is>
      </c>
      <c r="D5">
        <v>1</v>
      </c>
      <c r="E5"/>
      <c r="F5" t="inlineStr">
        <is>
          <t>@陈佳杰</t>
        </is>
      </c>
      <c r="G5">
        <v>1</v>
      </c>
      <c r="H5"/>
      <c r="I5">
        <v>4</v>
      </c>
      <c r="J5" t="inlineStr">
        <is>
          <t>Confirm basic information (name, description, creation background) is displayed for each work</t>
        </is>
      </c>
      <c r="K5" t="inlineStr">
        <is>
          <t>确认每个作品的基础信息（名称、描述、创作背景）正常展示</t>
        </is>
      </c>
      <c r="L5" s="2" t="str">
        <f>=HYPERLINK("http://pre.mgx.dev/chat/e9937ea628414596a587feaa03676d4a", "http://pre.mgx.dev/chat/e9937ea628414596a587feaa03676d4a")</f>
        <v>http://pre.mgx.dev/chat/e9937ea628414596a587feaa03676d4a</v>
      </c>
      <c r="M5" s="2" t="str">
        <f>=HYPERLINK("https://45781-e9937ea628414596a587feaa03676d4a-3-latest.app.beta.mgx.dev", "https://45781-e9937ea628414596a587feaa03676d4a-3-latest.app.beta.mgx.dev")</f>
        <v>https://45781-e9937ea628414596a587feaa03676d4a-3-latest.app.beta.mgx.dev</v>
      </c>
      <c r="N5" s="2" t="str">
        <f>=HYPERLINK("mailto:eval_71@auto.com", "eval_71@auto.com")</f>
        <v>eval_71@auto.com</v>
      </c>
      <c r="O5" t="inlineStr">
        <is>
          <t>e9937ea628414596a587feaa03676d4a</t>
        </is>
      </c>
    </row>
    <row r="6" ht="25.5" customHeight="1">
      <c r="A6" t="inlineStr">
        <is>
          <t>3D Showcase</t>
        </is>
      </c>
      <c r="B6">
        <v>1</v>
      </c>
      <c r="C6" t="inlineStr">
        <is>
          <t>@杨春玉</t>
        </is>
      </c>
      <c r="D6">
        <v>1</v>
      </c>
      <c r="E6"/>
      <c r="F6" t="inlineStr">
        <is>
          <t>@陈佳杰</t>
        </is>
      </c>
      <c r="G6">
        <v>1</v>
      </c>
      <c r="H6"/>
      <c r="I6">
        <v>5</v>
      </c>
      <c r="J6" t="inlineStr">
        <is>
          <t>Confirm presence of information cards for each piece</t>
        </is>
      </c>
      <c r="K6" t="inlineStr">
        <is>
          <t>确认每个作品均配有信息卡片</t>
        </is>
      </c>
      <c r="L6" s="2" t="str">
        <f>=HYPERLINK("http://pre.mgx.dev/chat/e9937ea628414596a587feaa03676d4a", "http://pre.mgx.dev/chat/e9937ea628414596a587feaa03676d4a")</f>
        <v>http://pre.mgx.dev/chat/e9937ea628414596a587feaa03676d4a</v>
      </c>
      <c r="M6" s="2" t="str">
        <f>=HYPERLINK("https://45781-e9937ea628414596a587feaa03676d4a-3-latest.app.beta.mgx.dev", "https://45781-e9937ea628414596a587feaa03676d4a-3-latest.app.beta.mgx.dev")</f>
        <v>https://45781-e9937ea628414596a587feaa03676d4a-3-latest.app.beta.mgx.dev</v>
      </c>
      <c r="N6" s="2" t="str">
        <f>=HYPERLINK("mailto:eval_71@auto.com", "eval_71@auto.com")</f>
        <v>eval_71@auto.com</v>
      </c>
      <c r="O6" t="inlineStr">
        <is>
          <t>e9937ea628414596a587feaa03676d4a</t>
        </is>
      </c>
    </row>
    <row r="7" ht="25.5" customHeight="1">
      <c r="A7" t="inlineStr">
        <is>
          <t>3D Showcase</t>
        </is>
      </c>
      <c r="B7">
        <v>1</v>
      </c>
      <c r="C7" t="inlineStr">
        <is>
          <t>@杨春玉</t>
        </is>
      </c>
      <c r="D7">
        <v>0</v>
      </c>
      <c r="E7" t="inlineStr">
        <is>
          <t>3D模型显示失败</t>
        </is>
      </c>
      <c r="F7" t="inlineStr">
        <is>
          <t>@陈佳杰</t>
        </is>
      </c>
      <c r="G7">
        <v>0</v>
      </c>
      <c r="H7" t="inlineStr">
        <is>
          <t>3D模型显示失败</t>
        </is>
      </c>
      <c r="I7">
        <v>6</v>
      </c>
      <c r="J7" t="inlineStr">
        <is>
          <t>Ensure 3D models load correctly and completely</t>
        </is>
      </c>
      <c r="K7" t="inlineStr">
        <is>
          <t>确保3D模型完整且正确加载</t>
        </is>
      </c>
      <c r="L7" s="2" t="str">
        <f>=HYPERLINK("http://pre.mgx.dev/chat/e9937ea628414596a587feaa03676d4a", "http://pre.mgx.dev/chat/e9937ea628414596a587feaa03676d4a")</f>
        <v>http://pre.mgx.dev/chat/e9937ea628414596a587feaa03676d4a</v>
      </c>
      <c r="M7" s="2" t="str">
        <f>=HYPERLINK("https://45781-e9937ea628414596a587feaa03676d4a-3-latest.app.beta.mgx.dev", "https://45781-e9937ea628414596a587feaa03676d4a-3-latest.app.beta.mgx.dev")</f>
        <v>https://45781-e9937ea628414596a587feaa03676d4a-3-latest.app.beta.mgx.dev</v>
      </c>
      <c r="N7" s="2" t="str">
        <f>=HYPERLINK("mailto:eval_71@auto.com", "eval_71@auto.com")</f>
        <v>eval_71@auto.com</v>
      </c>
      <c r="O7" t="inlineStr">
        <is>
          <t>e9937ea628414596a587feaa03676d4a</t>
        </is>
      </c>
    </row>
    <row r="8" ht="25.5" customHeight="1">
      <c r="A8" t="inlineStr">
        <is>
          <t>3D Showcase</t>
        </is>
      </c>
      <c r="B8">
        <v>1</v>
      </c>
      <c r="C8" t="inlineStr">
        <is>
          <t>@杨春玉</t>
        </is>
      </c>
      <c r="D8">
        <v>0</v>
      </c>
      <c r="E8" t="inlineStr">
        <is>
          <t>未显示缩略图</t>
        </is>
      </c>
      <c r="F8" t="inlineStr">
        <is>
          <t>@陈佳杰</t>
        </is>
      </c>
      <c r="G8">
        <v>0</v>
      </c>
      <c r="H8" t="inlineStr">
        <is>
          <t>无缩略图</t>
        </is>
      </c>
      <c r="I8">
        <v>7</v>
      </c>
      <c r="J8" t="inlineStr">
        <is>
          <t>Test clicking on thumbnails to switch between different works</t>
        </is>
      </c>
      <c r="K8" t="inlineStr">
        <is>
          <t>测试点击缩略图切换不同作品的功能</t>
        </is>
      </c>
      <c r="L8" s="2" t="str">
        <f>=HYPERLINK("http://pre.mgx.dev/chat/e9937ea628414596a587feaa03676d4a", "http://pre.mgx.dev/chat/e9937ea628414596a587feaa03676d4a")</f>
        <v>http://pre.mgx.dev/chat/e9937ea628414596a587feaa03676d4a</v>
      </c>
      <c r="M8" s="2" t="str">
        <f>=HYPERLINK("https://45781-e9937ea628414596a587feaa03676d4a-3-latest.app.beta.mgx.dev", "https://45781-e9937ea628414596a587feaa03676d4a-3-latest.app.beta.mgx.dev")</f>
        <v>https://45781-e9937ea628414596a587feaa03676d4a-3-latest.app.beta.mgx.dev</v>
      </c>
      <c r="N8" s="2" t="str">
        <f>=HYPERLINK("mailto:eval_71@auto.com", "eval_71@auto.com")</f>
        <v>eval_71@auto.com</v>
      </c>
      <c r="O8" t="inlineStr">
        <is>
          <t>e9937ea628414596a587feaa03676d4a</t>
        </is>
      </c>
    </row>
    <row r="9" ht="25.5" customHeight="1">
      <c r="A9" t="inlineStr">
        <is>
          <t>3D Showcase</t>
        </is>
      </c>
      <c r="B9">
        <v>1</v>
      </c>
      <c r="C9" t="inlineStr">
        <is>
          <t>@杨春玉</t>
        </is>
      </c>
      <c r="D9">
        <v>1</v>
      </c>
      <c r="E9"/>
      <c r="F9" t="inlineStr">
        <is>
          <t>@陈佳杰</t>
        </is>
      </c>
      <c r="G9">
        <v>1</v>
      </c>
      <c r="H9"/>
      <c r="I9">
        <v>8</v>
      </c>
      <c r="J9" t="inlineStr">
        <is>
          <t>Test if information updates correctly when switching between different works</t>
        </is>
      </c>
      <c r="K9" t="inlineStr">
        <is>
          <t>测试切换不同作品时信息是否正确更新</t>
        </is>
      </c>
      <c r="L9" s="2" t="str">
        <f>=HYPERLINK("http://pre.mgx.dev/chat/e9937ea628414596a587feaa03676d4a", "http://pre.mgx.dev/chat/e9937ea628414596a587feaa03676d4a")</f>
        <v>http://pre.mgx.dev/chat/e9937ea628414596a587feaa03676d4a</v>
      </c>
      <c r="M9" s="2" t="str">
        <f>=HYPERLINK("https://45781-e9937ea628414596a587feaa03676d4a-3-latest.app.beta.mgx.dev", "https://45781-e9937ea628414596a587feaa03676d4a-3-latest.app.beta.mgx.dev")</f>
        <v>https://45781-e9937ea628414596a587feaa03676d4a-3-latest.app.beta.mgx.dev</v>
      </c>
      <c r="N9" s="2" t="str">
        <f>=HYPERLINK("mailto:eval_71@auto.com", "eval_71@auto.com")</f>
        <v>eval_71@auto.com</v>
      </c>
      <c r="O9" t="inlineStr">
        <is>
          <t>e9937ea628414596a587feaa03676d4a</t>
        </is>
      </c>
    </row>
    <row r="10" ht="25.5" customHeight="1">
      <c r="A10" t="inlineStr">
        <is>
          <t>3D Showcase</t>
        </is>
      </c>
      <c r="B10">
        <v>1</v>
      </c>
      <c r="C10" t="inlineStr">
        <is>
          <t>@杨春玉</t>
        </is>
      </c>
      <c r="D10">
        <v>1</v>
      </c>
      <c r="E10"/>
      <c r="F10" t="inlineStr">
        <is>
          <t>@陈佳杰</t>
        </is>
      </c>
      <c r="G10">
        <v>1</v>
      </c>
      <c r="H10"/>
      <c r="I10">
        <v>9</v>
      </c>
      <c r="J10" t="inlineStr">
        <is>
          <t>Test opening and closing of information cards</t>
        </is>
      </c>
      <c r="K10" t="inlineStr">
        <is>
          <t>测试信息卡片的打开与关闭功能</t>
        </is>
      </c>
      <c r="L10" s="2" t="str">
        <f>=HYPERLINK("http://pre.mgx.dev/chat/e9937ea628414596a587feaa03676d4a", "http://pre.mgx.dev/chat/e9937ea628414596a587feaa03676d4a")</f>
        <v>http://pre.mgx.dev/chat/e9937ea628414596a587feaa03676d4a</v>
      </c>
      <c r="M10" s="2" t="str">
        <f>=HYPERLINK("https://45781-e9937ea628414596a587feaa03676d4a-3-latest.app.beta.mgx.dev", "https://45781-e9937ea628414596a587feaa03676d4a-3-latest.app.beta.mgx.dev")</f>
        <v>https://45781-e9937ea628414596a587feaa03676d4a-3-latest.app.beta.mgx.dev</v>
      </c>
      <c r="N10" s="2" t="str">
        <f>=HYPERLINK("mailto:eval_71@auto.com", "eval_71@auto.com")</f>
        <v>eval_71@auto.com</v>
      </c>
      <c r="O10" t="inlineStr">
        <is>
          <t>e9937ea628414596a587feaa03676d4a</t>
        </is>
      </c>
    </row>
    <row r="11" ht="25.5" customHeight="1">
      <c r="A11" t="inlineStr">
        <is>
          <t>3D Showcase</t>
        </is>
      </c>
      <c r="B11">
        <v>1</v>
      </c>
      <c r="C11" t="inlineStr">
        <is>
          <t>@杨春玉</t>
        </is>
      </c>
      <c r="D11">
        <v>0</v>
      </c>
      <c r="E11" t="inlineStr">
        <is>
          <t>3D模型显示失败</t>
        </is>
      </c>
      <c r="F11" t="inlineStr">
        <is>
          <t>@陈佳杰</t>
        </is>
      </c>
      <c r="G11">
        <v>0</v>
      </c>
      <c r="H11" t="inlineStr">
        <is>
          <t>3D模型显示失败</t>
        </is>
      </c>
      <c r="I11">
        <v>10</v>
      </c>
      <c r="J11" t="inlineStr">
        <is>
          <t>Verify 3D model preview functionality is present on the page</t>
        </is>
      </c>
      <c r="K11" t="inlineStr">
        <is>
          <t>验证页面是否具备3D模型预览功能</t>
        </is>
      </c>
      <c r="L11" s="2" t="str">
        <f>=HYPERLINK("http://pre.mgx.dev/chat/e9937ea628414596a587feaa03676d4a", "http://pre.mgx.dev/chat/e9937ea628414596a587feaa03676d4a")</f>
        <v>http://pre.mgx.dev/chat/e9937ea628414596a587feaa03676d4a</v>
      </c>
      <c r="M11" s="2" t="str">
        <f>=HYPERLINK("https://45781-e9937ea628414596a587feaa03676d4a-3-latest.app.beta.mgx.dev", "https://45781-e9937ea628414596a587feaa03676d4a-3-latest.app.beta.mgx.dev")</f>
        <v>https://45781-e9937ea628414596a587feaa03676d4a-3-latest.app.beta.mgx.dev</v>
      </c>
      <c r="N11" s="2" t="str">
        <f>=HYPERLINK("mailto:eval_71@auto.com", "eval_71@auto.com")</f>
        <v>eval_71@auto.com</v>
      </c>
      <c r="O11" t="inlineStr">
        <is>
          <t>e9937ea628414596a587feaa03676d4a</t>
        </is>
      </c>
    </row>
    <row r="12" ht="25.5" customHeight="1">
      <c r="A12" t="inlineStr">
        <is>
          <t>3D Showcase</t>
        </is>
      </c>
      <c r="B12">
        <v>1</v>
      </c>
      <c r="C12" t="inlineStr">
        <is>
          <t>@杨春玉</t>
        </is>
      </c>
      <c r="D12">
        <v>1</v>
      </c>
      <c r="E12"/>
      <c r="F12" t="inlineStr">
        <is>
          <t>@陈佳杰</t>
        </is>
      </c>
      <c r="G12">
        <v>1</v>
      </c>
      <c r="H12"/>
      <c r="I12">
        <v>11</v>
      </c>
      <c r="J12" t="inlineStr">
        <is>
          <t>Verify accuracy of displayed information for multiple works</t>
        </is>
      </c>
      <c r="K12" t="inlineStr">
        <is>
          <t>验证多个作品展示信息的准确性</t>
        </is>
      </c>
      <c r="L12" s="2" t="str">
        <f>=HYPERLINK("http://pre.mgx.dev/chat/e9937ea628414596a587feaa03676d4a", "http://pre.mgx.dev/chat/e9937ea628414596a587feaa03676d4a")</f>
        <v>http://pre.mgx.dev/chat/e9937ea628414596a587feaa03676d4a</v>
      </c>
      <c r="M12" s="2" t="str">
        <f>=HYPERLINK("", "https://45781-e9937ea628414596a587feaa03676d4a-3-latest.app.beta.mgx.dev")</f>
        <v>https://45781-e9937ea628414596a587feaa03676d4a-3-latest.app.beta.mgx.dev</v>
      </c>
      <c r="N12" s="2" t="str">
        <f>=HYPERLINK("mailto:eval_71@auto.com", "eval_71@auto.com")</f>
        <v>eval_71@auto.com</v>
      </c>
      <c r="O12" t="inlineStr">
        <is>
          <t>e9937ea628414596a587feaa03676d4a</t>
        </is>
      </c>
    </row>
    <row r="13" ht="25.5" customHeight="1">
      <c r="A13" t="inlineStr">
        <is>
          <t>3D Showcase</t>
        </is>
      </c>
      <c r="B13">
        <v>1</v>
      </c>
      <c r="C13" t="inlineStr">
        <is>
          <t>@杨春玉</t>
        </is>
      </c>
      <c r="D13">
        <v>0</v>
      </c>
      <c r="E13" t="inlineStr">
        <is>
          <t>3D模型显示失败</t>
        </is>
      </c>
      <c r="F13" t="inlineStr">
        <is>
          <t>@陈佳杰</t>
        </is>
      </c>
      <c r="G13">
        <v>0</v>
      </c>
      <c r="H13" t="inlineStr">
        <is>
          <t>3D模型显示失败</t>
        </is>
      </c>
      <c r="I13">
        <v>12</v>
      </c>
      <c r="J13" t="inlineStr">
        <is>
          <t>Verify presence of display mode toggle (flat mode vs 3D mode)</t>
        </is>
      </c>
      <c r="K13" t="inlineStr">
        <is>
          <t>验证是否存在展示模式切换按钮（平面模式/3D模式）</t>
        </is>
      </c>
      <c r="L13" s="2" t="str">
        <f>=HYPERLINK("http://pre.mgx.dev/chat/e9937ea628414596a587feaa03676d4a", "http://pre.mgx.dev/chat/e9937ea628414596a587feaa03676d4a")</f>
        <v>http://pre.mgx.dev/chat/e9937ea628414596a587feaa03676d4a</v>
      </c>
      <c r="M13" s="2" t="str">
        <f>=HYPERLINK("", "https://45781-e9937ea628414596a587feaa03676d4a-3-latest.app.beta.mgx.dev")</f>
        <v>https://45781-e9937ea628414596a587feaa03676d4a-3-latest.app.beta.mgx.dev</v>
      </c>
      <c r="N13" s="2" t="str">
        <f>=HYPERLINK("mailto:eval_71@auto.com", "eval_71@auto.com")</f>
        <v>eval_71@auto.com</v>
      </c>
      <c r="O13" t="inlineStr">
        <is>
          <t>e9937ea628414596a587feaa03676d4a</t>
        </is>
      </c>
    </row>
    <row r="14" ht="25.5" customHeight="1">
      <c r="A14" t="inlineStr">
        <is>
          <t>3D Showcase</t>
        </is>
      </c>
      <c r="B14">
        <v>1</v>
      </c>
      <c r="C14" t="inlineStr">
        <is>
          <t>@杨春玉</t>
        </is>
      </c>
      <c r="D14">
        <v>0</v>
      </c>
      <c r="E14" t="inlineStr">
        <is>
          <t>未显示缩略图</t>
        </is>
      </c>
      <c r="F14" t="inlineStr">
        <is>
          <t>@陈佳杰</t>
        </is>
      </c>
      <c r="G14">
        <v>0</v>
      </c>
      <c r="H14" t="inlineStr">
        <is>
          <t>无缩略图</t>
        </is>
      </c>
      <c r="I14">
        <v>13</v>
      </c>
      <c r="J14" t="inlineStr">
        <is>
          <t>Verify presence of thumbnail navigation</t>
        </is>
      </c>
      <c r="K14" t="inlineStr">
        <is>
          <t>验证缩略图导航是否存在</t>
        </is>
      </c>
      <c r="L14" s="2" t="str">
        <f>=HYPERLINK("http://pre.mgx.dev/chat/e9937ea628414596a587feaa03676d4a", "http://pre.mgx.dev/chat/e9937ea628414596a587feaa03676d4a")</f>
        <v>http://pre.mgx.dev/chat/e9937ea628414596a587feaa03676d4a</v>
      </c>
      <c r="M14" s="2" t="str">
        <f>=HYPERLINK("", "https://45781-e9937ea628414596a587feaa03676d4a-3-latest.app.beta.mgx.dev")</f>
        <v>https://45781-e9937ea628414596a587feaa03676d4a-3-latest.app.beta.mgx.dev</v>
      </c>
      <c r="N14" s="2" t="str">
        <f>=HYPERLINK("mailto:eval_71@auto.com", "eval_71@auto.com")</f>
        <v>eval_71@auto.com</v>
      </c>
      <c r="O14" t="inlineStr">
        <is>
          <t>e9937ea628414596a587feaa03676d4a</t>
        </is>
      </c>
    </row>
    <row r="15" ht="25.5" customHeight="1">
      <c r="A15" t="inlineStr">
        <is>
          <t>3D Showcase</t>
        </is>
      </c>
      <c r="B15">
        <v>1</v>
      </c>
      <c r="C15" t="inlineStr">
        <is>
          <t>@杨春玉</t>
        </is>
      </c>
      <c r="D15">
        <v>1</v>
      </c>
      <c r="E15"/>
      <c r="F15" t="inlineStr">
        <is>
          <t>@陈佳杰</t>
        </is>
      </c>
      <c r="G15">
        <v>1</v>
      </c>
      <c r="H15"/>
      <c r="I15">
        <v>14</v>
      </c>
      <c r="J15" t="inlineStr">
        <is>
          <t>Verify that information cards display detailed information about the work</t>
        </is>
      </c>
      <c r="K15" t="inlineStr">
        <is>
          <t>验证信息卡片是否展示作品的详细信息</t>
        </is>
      </c>
      <c r="L15" s="2" t="str">
        <f>=HYPERLINK("http://pre.mgx.dev/chat/e9937ea628414596a587feaa03676d4a", "http://pre.mgx.dev/chat/e9937ea628414596a587feaa03676d4a")</f>
        <v>http://pre.mgx.dev/chat/e9937ea628414596a587feaa03676d4a</v>
      </c>
      <c r="M15" s="2" t="str">
        <f>=HYPERLINK("", "https://45781-e9937ea628414596a587feaa03676d4a-3-latest.app.beta.mgx.dev")</f>
        <v>https://45781-e9937ea628414596a587feaa03676d4a-3-latest.app.beta.mgx.dev</v>
      </c>
      <c r="N15" s="2" t="str">
        <f>=HYPERLINK("mailto:eval_71@auto.com", "eval_71@auto.com")</f>
        <v>eval_71@auto.com</v>
      </c>
      <c r="O15" t="inlineStr">
        <is>
          <t>e9937ea628414596a587feaa03676d4a</t>
        </is>
      </c>
    </row>
    <row r="16" ht="25.5" customHeight="1">
      <c r="A16" t="inlineStr">
        <is>
          <t>90s Retro Business Card</t>
        </is>
      </c>
      <c r="B16">
        <v>2</v>
      </c>
      <c r="C16" t="inlineStr">
        <is>
          <t>@杨春玉</t>
        </is>
      </c>
      <c r="D16">
        <v>0</v>
      </c>
      <c r="E16" t="inlineStr">
        <is>
          <t>无法添加贴纸、气泡和标签</t>
        </is>
      </c>
      <c r="F16" t="inlineStr">
        <is>
          <t>@陈佳杰</t>
        </is>
      </c>
      <c r="G16">
        <v>0</v>
      </c>
      <c r="H16" t="inlineStr">
        <is>
          <t>无交互</t>
        </is>
      </c>
      <c r="I16">
        <v>1</v>
      </c>
      <c r="J16" t="inlineStr">
        <is>
          <t>Check if multiple stickers, bubbles, and labels can be added simultaneously</t>
        </is>
      </c>
      <c r="K16" t="inlineStr">
        <is>
          <t>检查是否可同时添加多个贴纸、气泡和标签</t>
        </is>
      </c>
      <c r="L16" s="2" t="str">
        <f>=HYPERLINK("http://pre.mgx.dev/chat/6807d4a6082a49cb9f09a5a92c47ab94", "http://pre.mgx.dev/chat/6807d4a6082a49cb9f09a5a92c47ab94")</f>
        <v>http://pre.mgx.dev/chat/6807d4a6082a49cb9f09a5a92c47ab94</v>
      </c>
      <c r="M16" s="2" t="str">
        <f>=HYPERLINK("", "https://45766-6807d4a6082a49cb9f09a5a92c47ab94-3-latest.app.beta.mgx.dev")</f>
        <v>https://45766-6807d4a6082a49cb9f09a5a92c47ab94-3-latest.app.beta.mgx.dev</v>
      </c>
      <c r="N16" s="2" t="str">
        <f>=HYPERLINK("mailto:eval_56@auto.com", "eval_56@auto.com")</f>
        <v>eval_56@auto.com</v>
      </c>
      <c r="O16" t="inlineStr">
        <is>
          <t>6807d4a6082a49cb9f09a5a92c47ab94</t>
        </is>
      </c>
    </row>
    <row r="17" ht="25.5" customHeight="1">
      <c r="A17" t="inlineStr">
        <is>
          <t>90s Retro Business Card</t>
        </is>
      </c>
      <c r="B17">
        <v>2</v>
      </c>
      <c r="C17" t="inlineStr">
        <is>
          <t>@杨春玉</t>
        </is>
      </c>
      <c r="D17">
        <v>0</v>
      </c>
      <c r="E17" t="inlineStr">
        <is>
          <t>信息无法编辑修改</t>
        </is>
      </c>
      <c r="F17" t="inlineStr">
        <is>
          <t>@陈佳杰</t>
        </is>
      </c>
      <c r="G17">
        <v>0</v>
      </c>
      <c r="H17" t="inlineStr">
        <is>
          <t>无交互</t>
        </is>
      </c>
      <c r="I17">
        <v>2</v>
      </c>
      <c r="J17" t="inlineStr">
        <is>
          <t>Check if the user can update their bio on the card</t>
        </is>
      </c>
      <c r="K17" t="inlineStr">
        <is>
          <t>检查用户是否可在卡片上更新个人简介</t>
        </is>
      </c>
      <c r="L17" s="2" t="str">
        <f>=HYPERLINK("http://pre.mgx.dev/chat/6807d4a6082a49cb9f09a5a92c47ab94", "http://pre.mgx.dev/chat/6807d4a6082a49cb9f09a5a92c47ab94")</f>
        <v>http://pre.mgx.dev/chat/6807d4a6082a49cb9f09a5a92c47ab94</v>
      </c>
      <c r="M17" s="2" t="str">
        <f>=HYPERLINK("", "https://45766-6807d4a6082a49cb9f09a5a92c47ab94-3-latest.app.beta.mgx.dev")</f>
        <v>https://45766-6807d4a6082a49cb9f09a5a92c47ab94-3-latest.app.beta.mgx.dev</v>
      </c>
      <c r="N17" s="2" t="str">
        <f>=HYPERLINK("mailto:eval_56@auto.com", "eval_56@auto.com")</f>
        <v>eval_56@auto.com</v>
      </c>
      <c r="O17" t="inlineStr">
        <is>
          <t>6807d4a6082a49cb9f09a5a92c47ab94</t>
        </is>
      </c>
    </row>
    <row r="18" ht="25.5" customHeight="1">
      <c r="A18" t="inlineStr">
        <is>
          <t>90s Retro Business Card</t>
        </is>
      </c>
      <c r="B18">
        <v>2</v>
      </c>
      <c r="C18" t="inlineStr">
        <is>
          <t>@杨春玉</t>
        </is>
      </c>
      <c r="D18">
        <v>0</v>
      </c>
      <c r="E18" t="inlineStr">
        <is>
          <t>头像无法上传</t>
        </is>
      </c>
      <c r="F18" t="inlineStr">
        <is>
          <t>@陈佳杰</t>
        </is>
      </c>
      <c r="G18">
        <v>0</v>
      </c>
      <c r="H18" t="inlineStr">
        <is>
          <t>无交互</t>
        </is>
      </c>
      <c r="I18">
        <v>3</v>
      </c>
      <c r="J18" t="inlineStr">
        <is>
          <t>Confirm that users can upload a profile picture</t>
        </is>
      </c>
      <c r="K18" t="inlineStr">
        <is>
          <t>确认用户可上传头像</t>
        </is>
      </c>
      <c r="L18" s="2" t="str">
        <f>=HYPERLINK("http://pre.mgx.dev/chat/6807d4a6082a49cb9f09a5a92c47ab94", "http://pre.mgx.dev/chat/6807d4a6082a49cb9f09a5a92c47ab94")</f>
        <v>http://pre.mgx.dev/chat/6807d4a6082a49cb9f09a5a92c47ab94</v>
      </c>
      <c r="M18" s="2" t="str">
        <f>=HYPERLINK("", "https://45766-6807d4a6082a49cb9f09a5a92c47ab94-3-latest.app.beta.mgx.dev")</f>
        <v>https://45766-6807d4a6082a49cb9f09a5a92c47ab94-3-latest.app.beta.mgx.dev</v>
      </c>
      <c r="N18" s="2" t="str">
        <f>=HYPERLINK("mailto:eval_56@auto.com", "eval_56@auto.com")</f>
        <v>eval_56@auto.com</v>
      </c>
      <c r="O18" t="inlineStr">
        <is>
          <t>6807d4a6082a49cb9f09a5a92c47ab94</t>
        </is>
      </c>
    </row>
    <row r="19" ht="25.5" customHeight="1">
      <c r="A19" t="inlineStr">
        <is>
          <t>90s Retro Business Card</t>
        </is>
      </c>
      <c r="B19">
        <v>2</v>
      </c>
      <c r="C19" t="inlineStr">
        <is>
          <t>@杨春玉</t>
        </is>
      </c>
      <c r="D19">
        <v>0</v>
      </c>
      <c r="E19" t="inlineStr">
        <is>
          <t>信息无法编辑修改</t>
        </is>
      </c>
      <c r="F19" t="inlineStr">
        <is>
          <t>@陈佳杰</t>
        </is>
      </c>
      <c r="G19">
        <v>0</v>
      </c>
      <c r="H19" t="inlineStr">
        <is>
          <t>无交互</t>
        </is>
      </c>
      <c r="I19">
        <v>4</v>
      </c>
      <c r="J19" t="inlineStr">
        <is>
          <t>Ensure all edited profile information is displayed correctly on the card</t>
        </is>
      </c>
      <c r="K19" t="inlineStr">
        <is>
          <t>确保编辑后的所有个人资料信息在卡片上正确展示</t>
        </is>
      </c>
      <c r="L19" s="2" t="str">
        <f>=HYPERLINK("http://pre.mgx.dev/chat/6807d4a6082a49cb9f09a5a92c47ab94", "http://pre.mgx.dev/chat/6807d4a6082a49cb9f09a5a92c47ab94")</f>
        <v>http://pre.mgx.dev/chat/6807d4a6082a49cb9f09a5a92c47ab94</v>
      </c>
      <c r="M19" s="2" t="str">
        <f>=HYPERLINK("", "https://45766-6807d4a6082a49cb9f09a5a92c47ab94-3-latest.app.beta.mgx.dev")</f>
        <v>https://45766-6807d4a6082a49cb9f09a5a92c47ab94-3-latest.app.beta.mgx.dev</v>
      </c>
      <c r="N19" s="2" t="str">
        <f>=HYPERLINK("mailto:eval_56@auto.com", "eval_56@auto.com")</f>
        <v>eval_56@auto.com</v>
      </c>
      <c r="O19" t="inlineStr">
        <is>
          <t>6807d4a6082a49cb9f09a5a92c47ab94</t>
        </is>
      </c>
    </row>
    <row r="20" ht="25.5" customHeight="1">
      <c r="A20" t="inlineStr">
        <is>
          <t>90s Retro Business Card</t>
        </is>
      </c>
      <c r="B20">
        <v>2</v>
      </c>
      <c r="C20" t="inlineStr">
        <is>
          <t>@杨春玉</t>
        </is>
      </c>
      <c r="D20">
        <v>0</v>
      </c>
      <c r="E20" t="inlineStr">
        <is>
          <t>无法添加贴纸、气泡和标签</t>
        </is>
      </c>
      <c r="F20" t="inlineStr">
        <is>
          <t>@陈佳杰</t>
        </is>
      </c>
      <c r="G20">
        <v>0</v>
      </c>
      <c r="H20" t="inlineStr">
        <is>
          <t>无交互</t>
        </is>
      </c>
      <c r="I20">
        <v>5</v>
      </c>
      <c r="J20" t="inlineStr">
        <is>
          <t>Ensure users can add comic-style labels to their card</t>
        </is>
      </c>
      <c r="K20" t="inlineStr">
        <is>
          <t>确保用户可在卡片上添加漫画风格标签</t>
        </is>
      </c>
      <c r="L20" s="2" t="str">
        <f>=HYPERLINK("http://pre.mgx.dev/chat/6807d4a6082a49cb9f09a5a92c47ab94", "http://pre.mgx.dev/chat/6807d4a6082a49cb9f09a5a92c47ab94")</f>
        <v>http://pre.mgx.dev/chat/6807d4a6082a49cb9f09a5a92c47ab94</v>
      </c>
      <c r="M20" s="2" t="str">
        <f>=HYPERLINK("", "https://45766-6807d4a6082a49cb9f09a5a92c47ab94-3-latest.app.beta.mgx.dev")</f>
        <v>https://45766-6807d4a6082a49cb9f09a5a92c47ab94-3-latest.app.beta.mgx.dev</v>
      </c>
      <c r="N20" s="2" t="str">
        <f>=HYPERLINK("mailto:eval_56@auto.com", "eval_56@auto.com")</f>
        <v>eval_56@auto.com</v>
      </c>
      <c r="O20" t="inlineStr">
        <is>
          <t>6807d4a6082a49cb9f09a5a92c47ab94</t>
        </is>
      </c>
    </row>
    <row r="21" ht="25.5" customHeight="1">
      <c r="A21" t="inlineStr">
        <is>
          <t>90s Retro Business Card</t>
        </is>
      </c>
      <c r="B21">
        <v>2</v>
      </c>
      <c r="C21" t="inlineStr">
        <is>
          <t>@杨春玉</t>
        </is>
      </c>
      <c r="D21">
        <v>0</v>
      </c>
      <c r="E21" t="inlineStr">
        <is>
          <t>信息无法编辑修改</t>
        </is>
      </c>
      <c r="F21" t="inlineStr">
        <is>
          <t>@陈佳杰</t>
        </is>
      </c>
      <c r="G21">
        <v>0</v>
      </c>
      <c r="H21" t="inlineStr">
        <is>
          <t>无交互</t>
        </is>
      </c>
      <c r="I21">
        <v>6</v>
      </c>
      <c r="J21" t="inlineStr">
        <is>
          <t>Test the ability to add and modify contact details on the card</t>
        </is>
      </c>
      <c r="K21" t="inlineStr">
        <is>
          <t>测试在卡片上添加和修改联系方式的功能</t>
        </is>
      </c>
      <c r="L21" s="2" t="str">
        <f>=HYPERLINK("http://pre.mgx.dev/chat/6807d4a6082a49cb9f09a5a92c47ab94", "http://pre.mgx.dev/chat/6807d4a6082a49cb9f09a5a92c47ab94")</f>
        <v>http://pre.mgx.dev/chat/6807d4a6082a49cb9f09a5a92c47ab94</v>
      </c>
      <c r="M21" s="2" t="str">
        <f>=HYPERLINK("", "https://45766-6807d4a6082a49cb9f09a5a92c47ab94-3-latest.app.beta.mgx.dev")</f>
        <v>https://45766-6807d4a6082a49cb9f09a5a92c47ab94-3-latest.app.beta.mgx.dev</v>
      </c>
      <c r="N21" s="2" t="str">
        <f>=HYPERLINK("mailto:eval_56@auto.com", "eval_56@auto.com")</f>
        <v>eval_56@auto.com</v>
      </c>
      <c r="O21" t="inlineStr">
        <is>
          <t>6807d4a6082a49cb9f09a5a92c47ab94</t>
        </is>
      </c>
    </row>
    <row r="22" ht="25.5" customHeight="1">
      <c r="A22" t="inlineStr">
        <is>
          <t>90s Retro Business Card</t>
        </is>
      </c>
      <c r="B22">
        <v>2</v>
      </c>
      <c r="C22" t="inlineStr">
        <is>
          <t>@杨春玉</t>
        </is>
      </c>
      <c r="D22">
        <v>0</v>
      </c>
      <c r="E22" t="inlineStr">
        <is>
          <t>无法添加贴纸、气泡和标签</t>
        </is>
      </c>
      <c r="F22" t="inlineStr">
        <is>
          <t>@陈佳杰</t>
        </is>
      </c>
      <c r="G22">
        <v>0</v>
      </c>
      <c r="H22" t="inlineStr">
        <is>
          <t>无交互</t>
        </is>
      </c>
      <c r="I22">
        <v>7</v>
      </c>
      <c r="J22" t="inlineStr">
        <is>
          <t>Test the ability to add speech bubbles to the card</t>
        </is>
      </c>
      <c r="K22" t="inlineStr">
        <is>
          <t>测试在卡片上添加对话气泡的功能</t>
        </is>
      </c>
      <c r="L22" s="2" t="str">
        <f>=HYPERLINK("http://pre.mgx.dev/chat/6807d4a6082a49cb9f09a5a92c47ab94", "http://pre.mgx.dev/chat/6807d4a6082a49cb9f09a5a92c47ab94")</f>
        <v>http://pre.mgx.dev/chat/6807d4a6082a49cb9f09a5a92c47ab94</v>
      </c>
      <c r="M22" s="2" t="str">
        <f>=HYPERLINK("", "https://45766-6807d4a6082a49cb9f09a5a92c47ab94-3-latest.app.beta.mgx.dev")</f>
        <v>https://45766-6807d4a6082a49cb9f09a5a92c47ab94-3-latest.app.beta.mgx.dev</v>
      </c>
      <c r="N22" s="2" t="str">
        <f>=HYPERLINK("mailto:eval_56@auto.com", "eval_56@auto.com")</f>
        <v>eval_56@auto.com</v>
      </c>
      <c r="O22" t="inlineStr">
        <is>
          <t>6807d4a6082a49cb9f09a5a92c47ab94</t>
        </is>
      </c>
    </row>
    <row r="23" ht="25.5" customHeight="1">
      <c r="A23" t="inlineStr">
        <is>
          <t>90s Retro Business Card</t>
        </is>
      </c>
      <c r="B23">
        <v>2</v>
      </c>
      <c r="C23" t="inlineStr">
        <is>
          <t>@杨春玉</t>
        </is>
      </c>
      <c r="D23">
        <v>1</v>
      </c>
      <c r="E23"/>
      <c r="F23" t="inlineStr">
        <is>
          <t>@陈佳杰</t>
        </is>
      </c>
      <c r="G23">
        <v>1</v>
      </c>
      <c r="H23"/>
      <c r="I23">
        <v>8</v>
      </c>
      <c r="J23" t="inlineStr">
        <is>
          <t>Verify that the reset button is visible and clickable</t>
        </is>
      </c>
      <c r="K23" t="inlineStr">
        <is>
          <t>验证重置按钮可见且可点击</t>
        </is>
      </c>
      <c r="L23" s="2" t="str">
        <f>=HYPERLINK("http://pre.mgx.dev/chat/6807d4a6082a49cb9f09a5a92c47ab94", "http://pre.mgx.dev/chat/6807d4a6082a49cb9f09a5a92c47ab94")</f>
        <v>http://pre.mgx.dev/chat/6807d4a6082a49cb9f09a5a92c47ab94</v>
      </c>
      <c r="M23" s="2" t="str">
        <f>=HYPERLINK("", "https://45766-6807d4a6082a49cb9f09a5a92c47ab94-3-latest.app.beta.mgx.dev")</f>
        <v>https://45766-6807d4a6082a49cb9f09a5a92c47ab94-3-latest.app.beta.mgx.dev</v>
      </c>
      <c r="N23" s="2" t="str">
        <f>=HYPERLINK("mailto:eval_56@auto.com", "eval_56@auto.com")</f>
        <v>eval_56@auto.com</v>
      </c>
      <c r="O23" t="inlineStr">
        <is>
          <t>6807d4a6082a49cb9f09a5a92c47ab94</t>
        </is>
      </c>
    </row>
    <row r="24" ht="25.5" customHeight="1">
      <c r="A24" t="inlineStr">
        <is>
          <t>90s Retro Business Card</t>
        </is>
      </c>
      <c r="B24">
        <v>2</v>
      </c>
      <c r="C24" t="inlineStr">
        <is>
          <t>@杨春玉</t>
        </is>
      </c>
      <c r="D24">
        <v>0</v>
      </c>
      <c r="E24" t="inlineStr">
        <is>
          <t>信息无法编辑修改</t>
        </is>
      </c>
      <c r="F24" t="inlineStr">
        <is>
          <t>@陈佳杰</t>
        </is>
      </c>
      <c r="G24">
        <v>0</v>
      </c>
      <c r="H24" t="inlineStr">
        <is>
          <t>无交互</t>
        </is>
      </c>
      <c r="I24">
        <v>9</v>
      </c>
      <c r="J24" t="inlineStr">
        <is>
          <t>Verify that the user can edit their name on the business card</t>
        </is>
      </c>
      <c r="K24" t="inlineStr">
        <is>
          <t>验证用户可编辑名片上的姓名</t>
        </is>
      </c>
      <c r="L24" s="2" t="str">
        <f>=HYPERLINK("http://pre.mgx.dev/chat/6807d4a6082a49cb9f09a5a92c47ab94", "http://pre.mgx.dev/chat/6807d4a6082a49cb9f09a5a92c47ab94")</f>
        <v>http://pre.mgx.dev/chat/6807d4a6082a49cb9f09a5a92c47ab94</v>
      </c>
      <c r="M24" s="2" t="str">
        <f>=HYPERLINK("", "https://45766-6807d4a6082a49cb9f09a5a92c47ab94-3-latest.app.beta.mgx.dev")</f>
        <v>https://45766-6807d4a6082a49cb9f09a5a92c47ab94-3-latest.app.beta.mgx.dev</v>
      </c>
      <c r="N24" s="2" t="str">
        <f>=HYPERLINK("mailto:eval_56@auto.com", "eval_56@auto.com")</f>
        <v>eval_56@auto.com</v>
      </c>
      <c r="O24" t="inlineStr">
        <is>
          <t>6807d4a6082a49cb9f09a5a92c47ab94</t>
        </is>
      </c>
    </row>
    <row r="25" ht="25.5" customHeight="1">
      <c r="A25" t="inlineStr">
        <is>
          <t>90s Retro Business Card</t>
        </is>
      </c>
      <c r="B25">
        <v>2</v>
      </c>
      <c r="C25" t="inlineStr">
        <is>
          <t>@杨春玉</t>
        </is>
      </c>
      <c r="D25">
        <v>1</v>
      </c>
      <c r="E25"/>
      <c r="F25" t="inlineStr">
        <is>
          <t>@陈佳杰</t>
        </is>
      </c>
      <c r="G25">
        <v>0</v>
      </c>
      <c r="H25" t="inlineStr">
        <is>
          <t>无交互，无法验证是否正确贴入</t>
        </is>
      </c>
      <c r="I25">
        <v>10</v>
      </c>
      <c r="J25" t="inlineStr">
        <is>
          <t>Verify that users can select from a variety of pre-designed stickers</t>
        </is>
      </c>
      <c r="K25" t="inlineStr">
        <is>
          <t>验证用户可从多种预设贴纸中选择</t>
        </is>
      </c>
      <c r="L25" s="2" t="str">
        <f>=HYPERLINK("http://pre.mgx.dev/chat/6807d4a6082a49cb9f09a5a92c47ab94", "http://pre.mgx.dev/chat/6807d4a6082a49cb9f09a5a92c47ab94")</f>
        <v>http://pre.mgx.dev/chat/6807d4a6082a49cb9f09a5a92c47ab94</v>
      </c>
      <c r="M25" s="2" t="str">
        <f>=HYPERLINK("", "https://45766-6807d4a6082a49cb9f09a5a92c47ab94-3-latest.app.beta.mgx.dev")</f>
        <v>https://45766-6807d4a6082a49cb9f09a5a92c47ab94-3-latest.app.beta.mgx.dev</v>
      </c>
      <c r="N25" s="2" t="str">
        <f>=HYPERLINK("mailto:eval_56@auto.com", "eval_56@auto.com")</f>
        <v>eval_56@auto.com</v>
      </c>
      <c r="O25" t="inlineStr">
        <is>
          <t>6807d4a6082a49cb9f09a5a92c47ab94</t>
        </is>
      </c>
    </row>
    <row r="26" ht="25.5" customHeight="1">
      <c r="A26" t="inlineStr">
        <is>
          <t>ArtisticColoringBook</t>
        </is>
      </c>
      <c r="B26">
        <v>3</v>
      </c>
      <c r="C26" t="inlineStr">
        <is>
          <t>@杨春玉</t>
        </is>
      </c>
      <c r="D26">
        <v>1</v>
      </c>
      <c r="E26"/>
      <c r="F26" t="inlineStr">
        <is>
          <t>@陈佳杰</t>
        </is>
      </c>
      <c r="G26">
        <v>1</v>
      </c>
      <c r="H26"/>
      <c r="I26">
        <v>1</v>
      </c>
      <c r="J26" t="inlineStr">
        <is>
          <t>Check if the active drawing area responds to user input (e.g., mouse clicks, touch input)</t>
        </is>
      </c>
      <c r="K26" t="inlineStr">
        <is>
          <t>检查绘图操作区是否响应用户输入（如鼠标点击、触控输入）</t>
        </is>
      </c>
      <c r="L26" s="2" t="str">
        <f>=HYPERLINK("http://pre.mgx.dev/chat/c3eaf600914b45e4974a3bb0a1bca168", "http://pre.mgx.dev/chat/c3eaf600914b45e4974a3bb0a1bca168")</f>
        <v>http://pre.mgx.dev/chat/c3eaf600914b45e4974a3bb0a1bca168</v>
      </c>
      <c r="M26" s="2" t="str">
        <f>=HYPERLINK("", "https://45808-c3eaf600914b45e4974a3bb0a1bca168-3-latest.app.beta.mgx.dev")</f>
        <v>https://45808-c3eaf600914b45e4974a3bb0a1bca168-3-latest.app.beta.mgx.dev</v>
      </c>
      <c r="N26" s="2" t="str">
        <f>=HYPERLINK("mailto:eval_98@auto.com", "eval_98@auto.com")</f>
        <v>eval_98@auto.com</v>
      </c>
      <c r="O26" t="inlineStr">
        <is>
          <t>c3eaf600914b45e4974a3bb0a1bca168</t>
        </is>
      </c>
    </row>
    <row r="27" ht="25.5" customHeight="1">
      <c r="A27" t="inlineStr">
        <is>
          <t>ArtisticColoringBook</t>
        </is>
      </c>
      <c r="B27">
        <v>3</v>
      </c>
      <c r="C27" t="inlineStr">
        <is>
          <t>@杨春玉</t>
        </is>
      </c>
      <c r="D27">
        <v>1</v>
      </c>
      <c r="E27"/>
      <c r="F27" t="inlineStr">
        <is>
          <t>@陈佳杰</t>
        </is>
      </c>
      <c r="G27">
        <v>1</v>
      </c>
      <c r="H27"/>
      <c r="I27">
        <v>2</v>
      </c>
      <c r="J27" t="inlineStr">
        <is>
          <t>Check if thumbnail previews are visible for each coloring page in the gallery</t>
        </is>
      </c>
      <c r="K27" t="inlineStr">
        <is>
          <t>检查画廊中每个填色页的缩略图预览是否可见</t>
        </is>
      </c>
      <c r="L27" s="2" t="str">
        <f>=HYPERLINK("http://pre.mgx.dev/chat/c3eaf600914b45e4974a3bb0a1bca168", "http://pre.mgx.dev/chat/c3eaf600914b45e4974a3bb0a1bca168")</f>
        <v>http://pre.mgx.dev/chat/c3eaf600914b45e4974a3bb0a1bca168</v>
      </c>
      <c r="M27" s="2" t="str">
        <f>=HYPERLINK("", "https://45808-c3eaf600914b45e4974a3bb0a1bca168-3-latest.app.beta.mgx.dev")</f>
        <v>https://45808-c3eaf600914b45e4974a3bb0a1bca168-3-latest.app.beta.mgx.dev</v>
      </c>
      <c r="N27" s="2" t="str">
        <f>=HYPERLINK("mailto:eval_98@auto.com", "eval_98@auto.com")</f>
        <v>eval_98@auto.com</v>
      </c>
      <c r="O27" t="inlineStr">
        <is>
          <t>c3eaf600914b45e4974a3bb0a1bca168</t>
        </is>
      </c>
    </row>
    <row r="28" ht="25.5" customHeight="1">
      <c r="A28" t="inlineStr">
        <is>
          <t>ArtisticColoringBook</t>
        </is>
      </c>
      <c r="B28">
        <v>3</v>
      </c>
      <c r="C28" t="inlineStr">
        <is>
          <t>@杨春玉</t>
        </is>
      </c>
      <c r="D28">
        <v>1</v>
      </c>
      <c r="E28"/>
      <c r="F28" t="inlineStr">
        <is>
          <t>@陈佳杰</t>
        </is>
      </c>
      <c r="G28">
        <v>1</v>
      </c>
      <c r="H28"/>
      <c r="I28">
        <v>3</v>
      </c>
      <c r="J28" t="inlineStr">
        <is>
          <t>Ensure that at least 3 themes (nature, animals, fantasy) are available in the gallery</t>
        </is>
      </c>
      <c r="K28" t="inlineStr">
        <is>
          <t>确保画廊中至少提供3类主题（自然、动物、奇幻）</t>
        </is>
      </c>
      <c r="L28" s="2" t="str">
        <f>=HYPERLINK("http://pre.mgx.dev/chat/c3eaf600914b45e4974a3bb0a1bca168", "http://pre.mgx.dev/chat/c3eaf600914b45e4974a3bb0a1bca168")</f>
        <v>http://pre.mgx.dev/chat/c3eaf600914b45e4974a3bb0a1bca168</v>
      </c>
      <c r="M28" s="2" t="str">
        <f>=HYPERLINK("", "https://45808-c3eaf600914b45e4974a3bb0a1bca168-3-latest.app.beta.mgx.dev")</f>
        <v>https://45808-c3eaf600914b45e4974a3bb0a1bca168-3-latest.app.beta.mgx.dev</v>
      </c>
      <c r="N28" s="2" t="str">
        <f>=HYPERLINK("mailto:eval_98@auto.com", "eval_98@auto.com")</f>
        <v>eval_98@auto.com</v>
      </c>
      <c r="O28" t="inlineStr">
        <is>
          <t>c3eaf600914b45e4974a3bb0a1bca168</t>
        </is>
      </c>
    </row>
    <row r="29" ht="25.5" customHeight="1">
      <c r="A29" t="inlineStr">
        <is>
          <t>ArtisticColoringBook</t>
        </is>
      </c>
      <c r="B29">
        <v>3</v>
      </c>
      <c r="C29" t="inlineStr">
        <is>
          <t>@杨春玉</t>
        </is>
      </c>
      <c r="D29">
        <v>1</v>
      </c>
      <c r="E29"/>
      <c r="F29" t="inlineStr">
        <is>
          <t>@陈佳杰</t>
        </is>
      </c>
      <c r="G29">
        <v>1</v>
      </c>
      <c r="H29"/>
      <c r="I29">
        <v>4</v>
      </c>
      <c r="J29" t="inlineStr">
        <is>
          <t>Test if different brush size options are available in the coloring workspace</t>
        </is>
      </c>
      <c r="K29" t="inlineStr">
        <is>
          <t>测试填色操作区是否提供不同画笔尺寸选项</t>
        </is>
      </c>
      <c r="L29" s="2" t="str">
        <f>=HYPERLINK("http://pre.mgx.dev/chat/c3eaf600914b45e4974a3bb0a1bca168", "http://pre.mgx.dev/chat/c3eaf600914b45e4974a3bb0a1bca168")</f>
        <v>http://pre.mgx.dev/chat/c3eaf600914b45e4974a3bb0a1bca168</v>
      </c>
      <c r="M29" s="2" t="str">
        <f>=HYPERLINK("", "https://45808-c3eaf600914b45e4974a3bb0a1bca168-3-latest.app.beta.mgx.dev")</f>
        <v>https://45808-c3eaf600914b45e4974a3bb0a1bca168-3-latest.app.beta.mgx.dev</v>
      </c>
      <c r="N29" s="2" t="str">
        <f>=HYPERLINK("mailto:eval_98@auto.com", "eval_98@auto.com")</f>
        <v>eval_98@auto.com</v>
      </c>
      <c r="O29" t="inlineStr">
        <is>
          <t>c3eaf600914b45e4974a3bb0a1bca168</t>
        </is>
      </c>
    </row>
    <row r="30" ht="25.5" customHeight="1">
      <c r="A30" t="inlineStr">
        <is>
          <t>ArtisticColoringBook</t>
        </is>
      </c>
      <c r="B30">
        <v>3</v>
      </c>
      <c r="C30" t="inlineStr">
        <is>
          <t>@杨春玉</t>
        </is>
      </c>
      <c r="D30">
        <v>1</v>
      </c>
      <c r="E30"/>
      <c r="F30" t="inlineStr">
        <is>
          <t>@陈佳杰</t>
        </is>
      </c>
      <c r="G30">
        <v>1</v>
      </c>
      <c r="H30"/>
      <c r="I30">
        <v>5</v>
      </c>
      <c r="J30" t="inlineStr">
        <is>
          <t>Test saving artwork in JPEG format</t>
        </is>
      </c>
      <c r="K30" t="inlineStr">
        <is>
          <t>测试将作品以JPEG格式保存的功能</t>
        </is>
      </c>
      <c r="L30" s="2" t="str">
        <f>=HYPERLINK("http://pre.mgx.dev/chat/c3eaf600914b45e4974a3bb0a1bca168", "http://pre.mgx.dev/chat/c3eaf600914b45e4974a3bb0a1bca168")</f>
        <v>http://pre.mgx.dev/chat/c3eaf600914b45e4974a3bb0a1bca168</v>
      </c>
      <c r="M30" s="2" t="str">
        <f>=HYPERLINK("", "https://45808-c3eaf600914b45e4974a3bb0a1bca168-3-latest.app.beta.mgx.dev")</f>
        <v>https://45808-c3eaf600914b45e4974a3bb0a1bca168-3-latest.app.beta.mgx.dev</v>
      </c>
      <c r="N30" s="2" t="str">
        <f>=HYPERLINK("mailto:eval_98@auto.com", "eval_98@auto.com")</f>
        <v>eval_98@auto.com</v>
      </c>
      <c r="O30" t="inlineStr">
        <is>
          <t>c3eaf600914b45e4974a3bb0a1bca168</t>
        </is>
      </c>
    </row>
    <row r="31" ht="25.5" customHeight="1">
      <c r="A31" t="inlineStr">
        <is>
          <t>ArtisticColoringBook</t>
        </is>
      </c>
      <c r="B31">
        <v>3</v>
      </c>
      <c r="C31" t="inlineStr">
        <is>
          <t>@杨春玉</t>
        </is>
      </c>
      <c r="D31">
        <v>1</v>
      </c>
      <c r="E31"/>
      <c r="F31" t="inlineStr">
        <is>
          <t>@陈佳杰</t>
        </is>
      </c>
      <c r="G31">
        <v>1</v>
      </c>
      <c r="H31"/>
      <c r="I31">
        <v>6</v>
      </c>
      <c r="J31" t="inlineStr">
        <is>
          <t>Test the selection capability of coloring pages from different themes (nature, animals, fantasy)</t>
        </is>
      </c>
      <c r="K31" t="inlineStr">
        <is>
          <t>测试从不同主题（自然、动物、奇幻）中选择填色页的功能</t>
        </is>
      </c>
      <c r="L31" s="2" t="str">
        <f>=HYPERLINK("http://pre.mgx.dev/chat/c3eaf600914b45e4974a3bb0a1bca168", "http://pre.mgx.dev/chat/c3eaf600914b45e4974a3bb0a1bca168")</f>
        <v>http://pre.mgx.dev/chat/c3eaf600914b45e4974a3bb0a1bca168</v>
      </c>
      <c r="M31" s="2" t="str">
        <f>=HYPERLINK("", "https://45808-c3eaf600914b45e4974a3bb0a1bca168-3-latest.app.beta.mgx.dev")</f>
        <v>https://45808-c3eaf600914b45e4974a3bb0a1bca168-3-latest.app.beta.mgx.dev</v>
      </c>
      <c r="N31" s="2" t="str">
        <f>=HYPERLINK("mailto:eval_98@auto.com", "eval_98@auto.com")</f>
        <v>eval_98@auto.com</v>
      </c>
      <c r="O31" t="inlineStr">
        <is>
          <t>c3eaf600914b45e4974a3bb0a1bca168</t>
        </is>
      </c>
    </row>
    <row r="32" ht="25.5" customHeight="1">
      <c r="A32" t="inlineStr">
        <is>
          <t>ArtisticColoringBook</t>
        </is>
      </c>
      <c r="B32">
        <v>3</v>
      </c>
      <c r="C32" t="inlineStr">
        <is>
          <t>@杨春玉</t>
        </is>
      </c>
      <c r="D32">
        <v>1</v>
      </c>
      <c r="E32"/>
      <c r="F32" t="inlineStr">
        <is>
          <t>@陈佳杰</t>
        </is>
      </c>
      <c r="G32">
        <v>1</v>
      </c>
      <c r="H32"/>
      <c r="I32">
        <v>7</v>
      </c>
      <c r="J32" t="inlineStr">
        <is>
          <t>Test zoom functionality to magnify specific areas of the coloring page</t>
        </is>
      </c>
      <c r="K32" t="inlineStr">
        <is>
          <t>测试放大填色页特定区域的缩放功能</t>
        </is>
      </c>
      <c r="L32" s="2" t="str">
        <f>=HYPERLINK("http://pre.mgx.dev/chat/c3eaf600914b45e4974a3bb0a1bca168", "http://pre.mgx.dev/chat/c3eaf600914b45e4974a3bb0a1bca168")</f>
        <v>http://pre.mgx.dev/chat/c3eaf600914b45e4974a3bb0a1bca168</v>
      </c>
      <c r="M32" s="2" t="str">
        <f>=HYPERLINK("", "https://45808-c3eaf600914b45e4974a3bb0a1bca168-3-latest.app.beta.mgx.dev")</f>
        <v>https://45808-c3eaf600914b45e4974a3bb0a1bca168-3-latest.app.beta.mgx.dev</v>
      </c>
      <c r="N32" s="2" t="str">
        <f>=HYPERLINK("mailto:eval_98@auto.com", "eval_98@auto.com")</f>
        <v>eval_98@auto.com</v>
      </c>
      <c r="O32" t="inlineStr">
        <is>
          <t>c3eaf600914b45e4974a3bb0a1bca168</t>
        </is>
      </c>
    </row>
    <row r="33" ht="25.5" customHeight="1">
      <c r="A33" t="inlineStr">
        <is>
          <t>ArtisticColoringBook</t>
        </is>
      </c>
      <c r="B33">
        <v>3</v>
      </c>
      <c r="C33" t="inlineStr">
        <is>
          <t>@杨春玉</t>
        </is>
      </c>
      <c r="D33">
        <v>0</v>
      </c>
      <c r="E33" t="inlineStr">
        <is>
          <t>放大后填色区域识别错误</t>
        </is>
      </c>
      <c r="F33" t="inlineStr">
        <is>
          <t>@陈佳杰</t>
        </is>
      </c>
      <c r="G33">
        <v>1</v>
      </c>
      <c r="H33"/>
      <c r="I33">
        <v>8</v>
      </c>
      <c r="J33" t="inlineStr">
        <is>
          <t>Test zooming in and out multiple times to ensure consistent functionality</t>
        </is>
      </c>
      <c r="K33" t="inlineStr">
        <is>
          <t>测试多次放大缩小操作，确保功能稳定</t>
        </is>
      </c>
      <c r="L33" s="2" t="str">
        <f>=HYPERLINK("http://pre.mgx.dev/chat/c3eaf600914b45e4974a3bb0a1bca168", "http://pre.mgx.dev/chat/c3eaf600914b45e4974a3bb0a1bca168")</f>
        <v>http://pre.mgx.dev/chat/c3eaf600914b45e4974a3bb0a1bca168</v>
      </c>
      <c r="M33" s="2" t="str">
        <f>=HYPERLINK("", "https://45808-c3eaf600914b45e4974a3bb0a1bca168-3-latest.app.beta.mgx.dev")</f>
        <v>https://45808-c3eaf600914b45e4974a3bb0a1bca168-3-latest.app.beta.mgx.dev</v>
      </c>
      <c r="N33" s="2" t="str">
        <f>=HYPERLINK("mailto:eval_98@auto.com", "eval_98@auto.com")</f>
        <v>eval_98@auto.com</v>
      </c>
      <c r="O33" t="inlineStr">
        <is>
          <t>c3eaf600914b45e4974a3bb0a1bca168</t>
        </is>
      </c>
    </row>
    <row r="34" ht="25.5" customHeight="1">
      <c r="A34" t="inlineStr">
        <is>
          <t>ArtisticColoringBook</t>
        </is>
      </c>
      <c r="B34">
        <v>3</v>
      </c>
      <c r="C34" t="inlineStr">
        <is>
          <t>@杨春玉</t>
        </is>
      </c>
      <c r="D34">
        <v>1</v>
      </c>
      <c r="E34"/>
      <c r="F34" t="inlineStr">
        <is>
          <t>@陈佳杰</t>
        </is>
      </c>
      <c r="G34">
        <v>1</v>
      </c>
      <c r="H34"/>
      <c r="I34">
        <v>9</v>
      </c>
      <c r="J34" t="inlineStr">
        <is>
          <t>Verify that selected colors are applied correctly to the coloring page</t>
        </is>
      </c>
      <c r="K34" t="inlineStr">
        <is>
          <t>验证选中的颜色是否正确应用于填色页</t>
        </is>
      </c>
      <c r="L34" s="2" t="str">
        <f>=HYPERLINK("http://pre.mgx.dev/chat/c3eaf600914b45e4974a3bb0a1bca168", "http://pre.mgx.dev/chat/c3eaf600914b45e4974a3bb0a1bca168")</f>
        <v>http://pre.mgx.dev/chat/c3eaf600914b45e4974a3bb0a1bca168</v>
      </c>
      <c r="M34" s="2" t="str">
        <f>=HYPERLINK("", "https://45808-c3eaf600914b45e4974a3bb0a1bca168-3-latest.app.beta.mgx.dev")</f>
        <v>https://45808-c3eaf600914b45e4974a3bb0a1bca168-3-latest.app.beta.mgx.dev</v>
      </c>
      <c r="N34" s="2" t="str">
        <f>=HYPERLINK("mailto:eval_98@auto.com", "eval_98@auto.com")</f>
        <v>eval_98@auto.com</v>
      </c>
      <c r="O34" t="inlineStr">
        <is>
          <t>c3eaf600914b45e4974a3bb0a1bca168</t>
        </is>
      </c>
    </row>
    <row r="35" ht="25.5" customHeight="1">
      <c r="A35" t="inlineStr">
        <is>
          <t>ArtisticColoringBook</t>
        </is>
      </c>
      <c r="B35">
        <v>3</v>
      </c>
      <c r="C35" t="inlineStr">
        <is>
          <t>@杨春玉</t>
        </is>
      </c>
      <c r="D35">
        <v>1</v>
      </c>
      <c r="E35"/>
      <c r="F35" t="inlineStr">
        <is>
          <t>@陈佳杰</t>
        </is>
      </c>
      <c r="G35">
        <v>1</v>
      </c>
      <c r="H35"/>
      <c r="I35">
        <v>10</v>
      </c>
      <c r="J35" t="inlineStr">
        <is>
          <t>Verify that texture effects can be removed or changed after application</t>
        </is>
      </c>
      <c r="K35" t="inlineStr">
        <is>
          <t>验证纹理效果应用后可移除或修改</t>
        </is>
      </c>
      <c r="L35" s="2" t="str">
        <f>=HYPERLINK("http://pre.mgx.dev/chat/c3eaf600914b45e4974a3bb0a1bca168", "http://pre.mgx.dev/chat/c3eaf600914b45e4974a3bb0a1bca168")</f>
        <v>http://pre.mgx.dev/chat/c3eaf600914b45e4974a3bb0a1bca168</v>
      </c>
      <c r="M35" s="2" t="str">
        <f>=HYPERLINK("", "https://45808-c3eaf600914b45e4974a3bb0a1bca168-3-latest.app.beta.mgx.dev")</f>
        <v>https://45808-c3eaf600914b45e4974a3bb0a1bca168-3-latest.app.beta.mgx.dev</v>
      </c>
      <c r="N35" s="2" t="str">
        <f>=HYPERLINK("mailto:eval_98@auto.com", "eval_98@auto.com")</f>
        <v>eval_98@auto.com</v>
      </c>
      <c r="O35" t="inlineStr">
        <is>
          <t>c3eaf600914b45e4974a3bb0a1bca168</t>
        </is>
      </c>
    </row>
    <row r="36" ht="25.5" customHeight="1">
      <c r="A36" t="inlineStr">
        <is>
          <t>ArtisticColoringBook</t>
        </is>
      </c>
      <c r="B36">
        <v>3</v>
      </c>
      <c r="C36" t="inlineStr">
        <is>
          <t>@杨春玉</t>
        </is>
      </c>
      <c r="D36">
        <v>1</v>
      </c>
      <c r="E36"/>
      <c r="F36" t="inlineStr">
        <is>
          <t>@陈佳杰</t>
        </is>
      </c>
      <c r="G36">
        <v>1</v>
      </c>
      <c r="H36"/>
      <c r="I36">
        <v>11</v>
      </c>
      <c r="J36" t="inlineStr">
        <is>
          <t>Verify that the coloring workspace is displayed with a color palette selection</t>
        </is>
      </c>
      <c r="K36" t="inlineStr">
        <is>
          <t>验证填色操作区展示调色板选择功能</t>
        </is>
      </c>
      <c r="L36" s="2" t="str">
        <f>=HYPERLINK("http://pre.mgx.dev/chat/c3eaf600914b45e4974a3bb0a1bca168", "http://pre.mgx.dev/chat/c3eaf600914b45e4974a3bb0a1bca168")</f>
        <v>http://pre.mgx.dev/chat/c3eaf600914b45e4974a3bb0a1bca168</v>
      </c>
      <c r="M36" s="2" t="str">
        <f>=HYPERLINK("", "https://45808-c3eaf600914b45e4974a3bb0a1bca168-3-latest.app.beta.mgx.dev")</f>
        <v>https://45808-c3eaf600914b45e4974a3bb0a1bca168-3-latest.app.beta.mgx.dev</v>
      </c>
      <c r="N36" s="2" t="str">
        <f>=HYPERLINK("mailto:eval_98@auto.com", "eval_98@auto.com")</f>
        <v>eval_98@auto.com</v>
      </c>
      <c r="O36" t="inlineStr">
        <is>
          <t>c3eaf600914b45e4974a3bb0a1bca168</t>
        </is>
      </c>
    </row>
    <row r="37" ht="25.5" customHeight="1">
      <c r="A37" t="inlineStr">
        <is>
          <t>ArtisticColoringBook</t>
        </is>
      </c>
      <c r="B37">
        <v>3</v>
      </c>
      <c r="C37" t="inlineStr">
        <is>
          <t>@杨春玉</t>
        </is>
      </c>
      <c r="D37">
        <v>1</v>
      </c>
      <c r="E37"/>
      <c r="F37" t="inlineStr">
        <is>
          <t>@陈佳杰</t>
        </is>
      </c>
      <c r="G37">
        <v>1</v>
      </c>
      <c r="H37"/>
      <c r="I37">
        <v>12</v>
      </c>
      <c r="J37" t="inlineStr">
        <is>
          <t>Verify that the theme-based gallery interface is displayed with categorized coloring pages</t>
        </is>
      </c>
      <c r="K37" t="inlineStr">
        <is>
          <t>验证主题化画廊界面按分类展示填色页</t>
        </is>
      </c>
      <c r="L37" s="2" t="str">
        <f>=HYPERLINK("http://pre.mgx.dev/chat/c3eaf600914b45e4974a3bb0a1bca168", "http://pre.mgx.dev/chat/c3eaf600914b45e4974a3bb0a1bca168")</f>
        <v>http://pre.mgx.dev/chat/c3eaf600914b45e4974a3bb0a1bca168</v>
      </c>
      <c r="M37" s="2" t="str">
        <f>=HYPERLINK("", "https://45808-c3eaf600914b45e4974a3bb0a1bca168-3-latest.app.beta.mgx.dev")</f>
        <v>https://45808-c3eaf600914b45e4974a3bb0a1bca168-3-latest.app.beta.mgx.dev</v>
      </c>
      <c r="N37" s="2" t="str">
        <f>=HYPERLINK("mailto:eval_98@auto.com", "eval_98@auto.com")</f>
        <v>eval_98@auto.com</v>
      </c>
      <c r="O37" t="inlineStr">
        <is>
          <t>c3eaf600914b45e4974a3bb0a1bca168</t>
        </is>
      </c>
    </row>
    <row r="38" ht="25.5" customHeight="1">
      <c r="A38" t="inlineStr">
        <is>
          <t>ArtisticColoringBook</t>
        </is>
      </c>
      <c r="B38">
        <v>3</v>
      </c>
      <c r="C38" t="inlineStr">
        <is>
          <t>@杨春玉</t>
        </is>
      </c>
      <c r="D38">
        <v>1</v>
      </c>
      <c r="E38"/>
      <c r="F38" t="inlineStr">
        <is>
          <t>@陈佳杰</t>
        </is>
      </c>
      <c r="G38">
        <v>1</v>
      </c>
      <c r="H38"/>
      <c r="I38">
        <v>13</v>
      </c>
      <c r="J38" t="inlineStr">
        <is>
          <t>Verify that zoom levels between 50% to 200% are available</t>
        </is>
      </c>
      <c r="K38" t="inlineStr">
        <is>
          <t>验证提供50%至200%的缩放比例</t>
        </is>
      </c>
      <c r="L38" s="2" t="str">
        <f>=HYPERLINK("http://pre.mgx.dev/chat/c3eaf600914b45e4974a3bb0a1bca168", "http://pre.mgx.dev/chat/c3eaf600914b45e4974a3bb0a1bca168")</f>
        <v>http://pre.mgx.dev/chat/c3eaf600914b45e4974a3bb0a1bca168</v>
      </c>
      <c r="M38" s="2" t="str">
        <f>=HYPERLINK("", "https://45808-c3eaf600914b45e4974a3bb0a1bca168-3-latest.app.beta.mgx.dev")</f>
        <v>https://45808-c3eaf600914b45e4974a3bb0a1bca168-3-latest.app.beta.mgx.dev</v>
      </c>
      <c r="N38" s="2" t="str">
        <f>=HYPERLINK("mailto:eval_98@auto.com", "eval_98@auto.com")</f>
        <v>eval_98@auto.com</v>
      </c>
      <c r="O38" t="inlineStr">
        <is>
          <t>c3eaf600914b45e4974a3bb0a1bca168</t>
        </is>
      </c>
    </row>
    <row r="39" ht="25.5" customHeight="1">
      <c r="A39" t="inlineStr">
        <is>
          <t>Booking Calendar</t>
        </is>
      </c>
      <c r="B39">
        <v>4</v>
      </c>
      <c r="C39" t="inlineStr">
        <is>
          <t>@杨春玉</t>
        </is>
      </c>
      <c r="D39">
        <v>1</v>
      </c>
      <c r="E39"/>
      <c r="F39" t="inlineStr">
        <is>
          <t>@陈佳杰</t>
        </is>
      </c>
      <c r="G39">
        <v>1</v>
      </c>
      <c r="H39"/>
      <c r="I39">
        <v>1</v>
      </c>
      <c r="J39" t="inlineStr">
        <is>
          <t>Check if the calendar shows available dates for booking</t>
        </is>
      </c>
      <c r="K39" t="inlineStr">
        <is>
          <t>检查日历是否展示可预约日期</t>
        </is>
      </c>
      <c r="L39" s="2" t="str">
        <f>=HYPERLINK("http://pre.mgx.dev/chat/06b1ae1c7f1b4c39ba17690d360a0cd7", "http://pre.mgx.dev/chat/06b1ae1c7f1b4c39ba17690d360a0cd7")</f>
        <v>http://pre.mgx.dev/chat/06b1ae1c7f1b4c39ba17690d360a0cd7</v>
      </c>
      <c r="M39" s="2" t="str">
        <f>=HYPERLINK("", "https://45749-06b1ae1c7f1b4c39ba17690d360a0cd7-3-latest.app.beta.mgx.dev")</f>
        <v>https://45749-06b1ae1c7f1b4c39ba17690d360a0cd7-3-latest.app.beta.mgx.dev</v>
      </c>
      <c r="N39" s="2" t="str">
        <f>=HYPERLINK("mailto:eval_39@auto.com", "eval_39@auto.com")</f>
        <v>eval_39@auto.com</v>
      </c>
      <c r="O39" t="inlineStr">
        <is>
          <t>06b1ae1c7f1b4c39ba17690d360a0cd7</t>
        </is>
      </c>
    </row>
    <row r="40" ht="25.5" customHeight="1">
      <c r="A40" t="inlineStr">
        <is>
          <t>Booking Calendar</t>
        </is>
      </c>
      <c r="B40">
        <v>4</v>
      </c>
      <c r="C40" t="inlineStr">
        <is>
          <t>@杨春玉</t>
        </is>
      </c>
      <c r="D40">
        <v>1</v>
      </c>
      <c r="E40"/>
      <c r="F40" t="inlineStr">
        <is>
          <t>@陈佳杰</t>
        </is>
      </c>
      <c r="G40">
        <v>1</v>
      </c>
      <c r="H40"/>
      <c r="I40">
        <v>2</v>
      </c>
      <c r="J40" t="inlineStr">
        <is>
          <t>Check if the pricing plan table is present on the webpage</t>
        </is>
      </c>
      <c r="K40" t="inlineStr">
        <is>
          <t>检查网页是否展示定价方案表</t>
        </is>
      </c>
      <c r="L40" s="2" t="str">
        <f>=HYPERLINK("http://pre.mgx.dev/chat/06b1ae1c7f1b4c39ba17690d360a0cd7", "http://pre.mgx.dev/chat/06b1ae1c7f1b4c39ba17690d360a0cd7")</f>
        <v>http://pre.mgx.dev/chat/06b1ae1c7f1b4c39ba17690d360a0cd7</v>
      </c>
      <c r="M40" s="2" t="str">
        <f>=HYPERLINK("", "https://45749-06b1ae1c7f1b4c39ba17690d360a0cd7-3-latest.app.beta.mgx.dev")</f>
        <v>https://45749-06b1ae1c7f1b4c39ba17690d360a0cd7-3-latest.app.beta.mgx.dev</v>
      </c>
      <c r="N40" s="2" t="str">
        <f>=HYPERLINK("mailto:eval_39@auto.com", "eval_39@auto.com")</f>
        <v>eval_39@auto.com</v>
      </c>
      <c r="O40" t="inlineStr">
        <is>
          <t>06b1ae1c7f1b4c39ba17690d360a0cd7</t>
        </is>
      </c>
    </row>
    <row r="41" ht="25.5" customHeight="1">
      <c r="A41" t="inlineStr">
        <is>
          <t>Booking Calendar</t>
        </is>
      </c>
      <c r="B41">
        <v>4</v>
      </c>
      <c r="C41" t="inlineStr">
        <is>
          <t>@杨春玉</t>
        </is>
      </c>
      <c r="D41">
        <v>1</v>
      </c>
      <c r="E41"/>
      <c r="F41" t="inlineStr">
        <is>
          <t>@陈佳杰</t>
        </is>
      </c>
      <c r="G41">
        <v>1</v>
      </c>
      <c r="H41"/>
      <c r="I41">
        <v>3</v>
      </c>
      <c r="J41" t="inlineStr">
        <is>
          <t>Confirm that the displayed information updates according to the selected date range</t>
        </is>
      </c>
      <c r="K41" t="inlineStr">
        <is>
          <t>确认展示信息随选中的日期范围同步更新</t>
        </is>
      </c>
      <c r="L41" s="2" t="str">
        <f>=HYPERLINK("http://pre.mgx.dev/chat/06b1ae1c7f1b4c39ba17690d360a0cd7", "http://pre.mgx.dev/chat/06b1ae1c7f1b4c39ba17690d360a0cd7")</f>
        <v>http://pre.mgx.dev/chat/06b1ae1c7f1b4c39ba17690d360a0cd7</v>
      </c>
      <c r="M41" s="2" t="str">
        <f>=HYPERLINK("", "https://45749-06b1ae1c7f1b4c39ba17690d360a0cd7-3-latest.app.beta.mgx.dev")</f>
        <v>https://45749-06b1ae1c7f1b4c39ba17690d360a0cd7-3-latest.app.beta.mgx.dev</v>
      </c>
      <c r="N41" s="2" t="str">
        <f>=HYPERLINK("mailto:eval_39@auto.com", "eval_39@auto.com")</f>
        <v>eval_39@auto.com</v>
      </c>
      <c r="O41" t="inlineStr">
        <is>
          <t>06b1ae1c7f1b4c39ba17690d360a0cd7</t>
        </is>
      </c>
    </row>
    <row r="42" ht="25.5" customHeight="1">
      <c r="A42" t="inlineStr">
        <is>
          <t>Booking Calendar</t>
        </is>
      </c>
      <c r="B42">
        <v>4</v>
      </c>
      <c r="C42" t="inlineStr">
        <is>
          <t>@杨春玉</t>
        </is>
      </c>
      <c r="D42">
        <v>1</v>
      </c>
      <c r="E42"/>
      <c r="F42" t="inlineStr">
        <is>
          <t>@陈佳杰</t>
        </is>
      </c>
      <c r="G42">
        <v>1</v>
      </c>
      <c r="H42"/>
      <c r="I42">
        <v>4</v>
      </c>
      <c r="J42" t="inlineStr">
        <is>
          <t>Confirm the presence of a quick contact button on the page</t>
        </is>
      </c>
      <c r="K42" t="inlineStr">
        <is>
          <t>确认页面上存在快速联系按钮</t>
        </is>
      </c>
      <c r="L42" s="2" t="str">
        <f>=HYPERLINK("http://pre.mgx.dev/chat/06b1ae1c7f1b4c39ba17690d360a0cd7", "http://pre.mgx.dev/chat/06b1ae1c7f1b4c39ba17690d360a0cd7")</f>
        <v>http://pre.mgx.dev/chat/06b1ae1c7f1b4c39ba17690d360a0cd7</v>
      </c>
      <c r="M42" s="2" t="str">
        <f>=HYPERLINK("", "https://45749-06b1ae1c7f1b4c39ba17690d360a0cd7-3-latest.app.beta.mgx.dev")</f>
        <v>https://45749-06b1ae1c7f1b4c39ba17690d360a0cd7-3-latest.app.beta.mgx.dev</v>
      </c>
      <c r="N42" s="2" t="str">
        <f>=HYPERLINK("mailto:eval_39@auto.com", "eval_39@auto.com")</f>
        <v>eval_39@auto.com</v>
      </c>
      <c r="O42" t="inlineStr">
        <is>
          <t>06b1ae1c7f1b4c39ba17690d360a0cd7</t>
        </is>
      </c>
    </row>
    <row r="43" ht="25.5" customHeight="1">
      <c r="A43" t="inlineStr">
        <is>
          <t>Booking Calendar</t>
        </is>
      </c>
      <c r="B43">
        <v>4</v>
      </c>
      <c r="C43" t="inlineStr">
        <is>
          <t>@杨春玉</t>
        </is>
      </c>
      <c r="D43">
        <v>1</v>
      </c>
      <c r="E43"/>
      <c r="F43" t="inlineStr">
        <is>
          <t>@陈佳杰</t>
        </is>
      </c>
      <c r="G43">
        <v>1</v>
      </c>
      <c r="H43"/>
      <c r="I43">
        <v>5</v>
      </c>
      <c r="J43" t="inlineStr">
        <is>
          <t>Confirm the time slot list is present on the page</t>
        </is>
      </c>
      <c r="K43" t="inlineStr">
        <is>
          <t>确认页面上存在时间段列表</t>
        </is>
      </c>
      <c r="L43" s="2" t="str">
        <f>=HYPERLINK("http://pre.mgx.dev/chat/06b1ae1c7f1b4c39ba17690d360a0cd7", "http://pre.mgx.dev/chat/06b1ae1c7f1b4c39ba17690d360a0cd7")</f>
        <v>http://pre.mgx.dev/chat/06b1ae1c7f1b4c39ba17690d360a0cd7</v>
      </c>
      <c r="M43" s="2" t="str">
        <f>=HYPERLINK("", "https://45749-06b1ae1c7f1b4c39ba17690d360a0cd7-3-latest.app.beta.mgx.dev")</f>
        <v>https://45749-06b1ae1c7f1b4c39ba17690d360a0cd7-3-latest.app.beta.mgx.dev</v>
      </c>
      <c r="N43" s="2" t="str">
        <f>=HYPERLINK("mailto:eval_39@auto.com", "eval_39@auto.com")</f>
        <v>eval_39@auto.com</v>
      </c>
      <c r="O43" t="inlineStr">
        <is>
          <t>06b1ae1c7f1b4c39ba17690d360a0cd7</t>
        </is>
      </c>
    </row>
    <row r="44" ht="25.5" customHeight="1">
      <c r="A44" t="inlineStr">
        <is>
          <t>Booking Calendar</t>
        </is>
      </c>
      <c r="B44">
        <v>4</v>
      </c>
      <c r="C44" t="inlineStr">
        <is>
          <t>@杨春玉</t>
        </is>
      </c>
      <c r="D44">
        <v>1</v>
      </c>
      <c r="E44"/>
      <c r="F44" t="inlineStr">
        <is>
          <t>@陈佳杰</t>
        </is>
      </c>
      <c r="G44">
        <v>1</v>
      </c>
      <c r="H44"/>
      <c r="I44">
        <v>6</v>
      </c>
      <c r="J44" t="inlineStr">
        <is>
          <t>Ensure course introduction cards are visible on the page</t>
        </is>
      </c>
      <c r="K44" t="inlineStr">
        <is>
          <t>确保课程介绍卡片在页面上可见</t>
        </is>
      </c>
      <c r="L44" s="2" t="str">
        <f>=HYPERLINK("http://pre.mgx.dev/chat/06b1ae1c7f1b4c39ba17690d360a0cd7", "http://pre.mgx.dev/chat/06b1ae1c7f1b4c39ba17690d360a0cd7")</f>
        <v>http://pre.mgx.dev/chat/06b1ae1c7f1b4c39ba17690d360a0cd7</v>
      </c>
      <c r="M44" s="2" t="str">
        <f>=HYPERLINK("", "https://45749-06b1ae1c7f1b4c39ba17690d360a0cd7-3-latest.app.beta.mgx.dev")</f>
        <v>https://45749-06b1ae1c7f1b4c39ba17690d360a0cd7-3-latest.app.beta.mgx.dev</v>
      </c>
      <c r="N44" s="2" t="str">
        <f>=HYPERLINK("mailto:eval_39@auto.com", "eval_39@auto.com")</f>
        <v>eval_39@auto.com</v>
      </c>
      <c r="O44" t="inlineStr">
        <is>
          <t>06b1ae1c7f1b4c39ba17690d360a0cd7</t>
        </is>
      </c>
    </row>
    <row r="45" ht="25.5" customHeight="1">
      <c r="A45" t="inlineStr">
        <is>
          <t>Booking Calendar</t>
        </is>
      </c>
      <c r="B45">
        <v>4</v>
      </c>
      <c r="C45" t="inlineStr">
        <is>
          <t>@杨春玉</t>
        </is>
      </c>
      <c r="D45">
        <v>0</v>
      </c>
      <c r="E45" t="inlineStr">
        <is>
          <t>无法通过筛选器选择时间</t>
        </is>
      </c>
      <c r="F45" t="inlineStr">
        <is>
          <t>@陈佳杰</t>
        </is>
      </c>
      <c r="G45">
        <v>0</v>
      </c>
      <c r="H45" t="inlineStr">
        <is>
          <t>可筛选，无结果</t>
        </is>
      </c>
      <c r="I45">
        <v>7</v>
      </c>
      <c r="J45" t="inlineStr">
        <is>
          <t>Test selecting a date range using the filter</t>
        </is>
      </c>
      <c r="K45" t="inlineStr">
        <is>
          <t>测试使用筛选器选择日期范围的功能</t>
        </is>
      </c>
      <c r="L45" s="2" t="str">
        <f>=HYPERLINK("http://pre.mgx.dev/chat/06b1ae1c7f1b4c39ba17690d360a0cd7", "http://pre.mgx.dev/chat/06b1ae1c7f1b4c39ba17690d360a0cd7")</f>
        <v>http://pre.mgx.dev/chat/06b1ae1c7f1b4c39ba17690d360a0cd7</v>
      </c>
      <c r="M45" s="2" t="str">
        <f>=HYPERLINK("", "https://45749-06b1ae1c7f1b4c39ba17690d360a0cd7-3-latest.app.beta.mgx.dev")</f>
        <v>https://45749-06b1ae1c7f1b4c39ba17690d360a0cd7-3-latest.app.beta.mgx.dev</v>
      </c>
      <c r="N45" s="2" t="str">
        <f>=HYPERLINK("mailto:eval_39@auto.com", "eval_39@auto.com")</f>
        <v>eval_39@auto.com</v>
      </c>
      <c r="O45" t="inlineStr">
        <is>
          <t>06b1ae1c7f1b4c39ba17690d360a0cd7</t>
        </is>
      </c>
    </row>
    <row r="46" ht="25.5" customHeight="1">
      <c r="A46" t="inlineStr">
        <is>
          <t>Booking Calendar</t>
        </is>
      </c>
      <c r="B46">
        <v>4</v>
      </c>
      <c r="C46" t="inlineStr">
        <is>
          <t>@杨春玉</t>
        </is>
      </c>
      <c r="D46">
        <v>0</v>
      </c>
      <c r="E46" t="inlineStr">
        <is>
          <t>点击后无效果</t>
        </is>
      </c>
      <c r="F46" t="inlineStr">
        <is>
          <t>@陈佳杰</t>
        </is>
      </c>
      <c r="G46">
        <v>0</v>
      </c>
      <c r="H46" t="inlineStr">
        <is>
          <t>无交互</t>
        </is>
      </c>
      <c r="I46">
        <v>8</v>
      </c>
      <c r="J46" t="inlineStr">
        <is>
          <t>Test that clicking on a course card reveals more detailed information</t>
        </is>
      </c>
      <c r="K46" t="inlineStr">
        <is>
          <t>测试点击课程卡片可展示更多详细信息</t>
        </is>
      </c>
      <c r="L46" s="2" t="str">
        <f>=HYPERLINK("http://pre.mgx.dev/chat/06b1ae1c7f1b4c39ba17690d360a0cd7", "http://pre.mgx.dev/chat/06b1ae1c7f1b4c39ba17690d360a0cd7")</f>
        <v>http://pre.mgx.dev/chat/06b1ae1c7f1b4c39ba17690d360a0cd7</v>
      </c>
      <c r="M46" s="2" t="str">
        <f>=HYPERLINK("", "https://45749-06b1ae1c7f1b4c39ba17690d360a0cd7-3-latest.app.beta.mgx.dev")</f>
        <v>https://45749-06b1ae1c7f1b4c39ba17690d360a0cd7-3-latest.app.beta.mgx.dev</v>
      </c>
      <c r="N46" s="2" t="str">
        <f>=HYPERLINK("mailto:eval_39@auto.com", "eval_39@auto.com")</f>
        <v>eval_39@auto.com</v>
      </c>
      <c r="O46" t="inlineStr">
        <is>
          <t>06b1ae1c7f1b4c39ba17690d360a0cd7</t>
        </is>
      </c>
    </row>
    <row r="47" ht="25.5" customHeight="1">
      <c r="A47" t="inlineStr">
        <is>
          <t>Booking Calendar</t>
        </is>
      </c>
      <c r="B47">
        <v>4</v>
      </c>
      <c r="C47" t="inlineStr">
        <is>
          <t>@杨春玉</t>
        </is>
      </c>
      <c r="D47">
        <v>1</v>
      </c>
      <c r="E47"/>
      <c r="F47" t="inlineStr">
        <is>
          <t>@陈佳杰</t>
        </is>
      </c>
      <c r="G47">
        <v>1</v>
      </c>
      <c r="H47"/>
      <c r="I47">
        <v>9</v>
      </c>
      <c r="J47" t="inlineStr">
        <is>
          <t>Test that clicking the quick contact button opens a contact form or initiates contact</t>
        </is>
      </c>
      <c r="K47" t="inlineStr">
        <is>
          <t>测试点击快速联系按钮可打开联系表单或发起联系</t>
        </is>
      </c>
      <c r="L47" s="2" t="str">
        <f>=HYPERLINK("http://pre.mgx.dev/chat/06b1ae1c7f1b4c39ba17690d360a0cd7", "http://pre.mgx.dev/chat/06b1ae1c7f1b4c39ba17690d360a0cd7")</f>
        <v>http://pre.mgx.dev/chat/06b1ae1c7f1b4c39ba17690d360a0cd7</v>
      </c>
      <c r="M47" s="2" t="str">
        <f>=HYPERLINK("", "https://45749-06b1ae1c7f1b4c39ba17690d360a0cd7-3-latest.app.beta.mgx.dev")</f>
        <v>https://45749-06b1ae1c7f1b4c39ba17690d360a0cd7-3-latest.app.beta.mgx.dev</v>
      </c>
      <c r="N47" s="2" t="str">
        <f>=HYPERLINK("mailto:eval_39@auto.com", "eval_39@auto.com")</f>
        <v>eval_39@auto.com</v>
      </c>
      <c r="O47" t="inlineStr">
        <is>
          <t>06b1ae1c7f1b4c39ba17690d360a0cd7</t>
        </is>
      </c>
    </row>
    <row r="48" ht="25.5" customHeight="1">
      <c r="A48" t="inlineStr">
        <is>
          <t>Booking Calendar</t>
        </is>
      </c>
      <c r="B48">
        <v>4</v>
      </c>
      <c r="C48" t="inlineStr">
        <is>
          <t>@杨春玉</t>
        </is>
      </c>
      <c r="D48">
        <v>1</v>
      </c>
      <c r="E48"/>
      <c r="F48" t="inlineStr">
        <is>
          <t>@陈佳杰</t>
        </is>
      </c>
      <c r="G48">
        <v>1</v>
      </c>
      <c r="H48"/>
      <c r="I48">
        <v>10</v>
      </c>
      <c r="J48" t="inlineStr">
        <is>
          <t>Verify that each card displays the course name, description, and time</t>
        </is>
      </c>
      <c r="K48" t="inlineStr">
        <is>
          <t>验证每张卡片均展示课程名称、描述和时长</t>
        </is>
      </c>
      <c r="L48" s="2" t="str">
        <f>=HYPERLINK("http://pre.mgx.dev/chat/06b1ae1c7f1b4c39ba17690d360a0cd7", "http://pre.mgx.dev/chat/06b1ae1c7f1b4c39ba17690d360a0cd7")</f>
        <v>http://pre.mgx.dev/chat/06b1ae1c7f1b4c39ba17690d360a0cd7</v>
      </c>
      <c r="M48" s="2" t="str">
        <f>=HYPERLINK("", "https://45749-06b1ae1c7f1b4c39ba17690d360a0cd7-3-latest.app.beta.mgx.dev")</f>
        <v>https://45749-06b1ae1c7f1b4c39ba17690d360a0cd7-3-latest.app.beta.mgx.dev</v>
      </c>
      <c r="N48" s="2" t="str">
        <f>=HYPERLINK("mailto:eval_39@auto.com", "eval_39@auto.com")</f>
        <v>eval_39@auto.com</v>
      </c>
      <c r="O48" t="inlineStr">
        <is>
          <t>06b1ae1c7f1b4c39ba17690d360a0cd7</t>
        </is>
      </c>
    </row>
    <row r="49" ht="25.5" customHeight="1">
      <c r="A49" t="inlineStr">
        <is>
          <t>Booking Calendar</t>
        </is>
      </c>
      <c r="B49">
        <v>4</v>
      </c>
      <c r="C49" t="inlineStr">
        <is>
          <t>@杨春玉</t>
        </is>
      </c>
      <c r="D49">
        <v>1</v>
      </c>
      <c r="E49"/>
      <c r="F49" t="inlineStr">
        <is>
          <t>@陈佳杰</t>
        </is>
      </c>
      <c r="G49">
        <v>1</v>
      </c>
      <c r="H49"/>
      <c r="I49">
        <v>11</v>
      </c>
      <c r="J49" t="inlineStr">
        <is>
          <t>Verify that the calendar view module is displayed on the webpage</t>
        </is>
      </c>
      <c r="K49" t="inlineStr">
        <is>
          <t>验证网页上展示日历视图模块</t>
        </is>
      </c>
      <c r="L49" s="2" t="str">
        <f>=HYPERLINK("http://pre.mgx.dev/chat/06b1ae1c7f1b4c39ba17690d360a0cd7", "http://pre.mgx.dev/chat/06b1ae1c7f1b4c39ba17690d360a0cd7")</f>
        <v>http://pre.mgx.dev/chat/06b1ae1c7f1b4c39ba17690d360a0cd7</v>
      </c>
      <c r="M49" s="2" t="str">
        <f>=HYPERLINK("", "https://45749-06b1ae1c7f1b4c39ba17690d360a0cd7-3-latest.app.beta.mgx.dev")</f>
        <v>https://45749-06b1ae1c7f1b4c39ba17690d360a0cd7-3-latest.app.beta.mgx.dev</v>
      </c>
      <c r="N49" s="2" t="str">
        <f>=HYPERLINK("mailto:eval_39@auto.com", "eval_39@auto.com")</f>
        <v>eval_39@auto.com</v>
      </c>
      <c r="O49" t="inlineStr">
        <is>
          <t>06b1ae1c7f1b4c39ba17690d360a0cd7</t>
        </is>
      </c>
    </row>
    <row r="50" ht="25.5" customHeight="1">
      <c r="A50" t="inlineStr">
        <is>
          <t>Booking Calendar</t>
        </is>
      </c>
      <c r="B50">
        <v>4</v>
      </c>
      <c r="C50" t="inlineStr">
        <is>
          <t>@杨春玉</t>
        </is>
      </c>
      <c r="D50">
        <v>1</v>
      </c>
      <c r="E50"/>
      <c r="F50" t="inlineStr">
        <is>
          <t>@陈佳杰</t>
        </is>
      </c>
      <c r="G50">
        <v>1</v>
      </c>
      <c r="H50"/>
      <c r="I50">
        <v>12</v>
      </c>
      <c r="J50" t="inlineStr">
        <is>
          <t>Verify that the date filter feature is available on the page</t>
        </is>
      </c>
      <c r="K50" t="inlineStr">
        <is>
          <t>验证页面上提供日期筛选功能</t>
        </is>
      </c>
      <c r="L50" s="2" t="str">
        <f>=HYPERLINK("http://pre.mgx.dev/chat/06b1ae1c7f1b4c39ba17690d360a0cd7", "http://pre.mgx.dev/chat/06b1ae1c7f1b4c39ba17690d360a0cd7")</f>
        <v>http://pre.mgx.dev/chat/06b1ae1c7f1b4c39ba17690d360a0cd7</v>
      </c>
      <c r="M50" s="2" t="str">
        <f>=HYPERLINK("", "https://45749-06b1ae1c7f1b4c39ba17690d360a0cd7-3-latest.app.beta.mgx.dev")</f>
        <v>https://45749-06b1ae1c7f1b4c39ba17690d360a0cd7-3-latest.app.beta.mgx.dev</v>
      </c>
      <c r="N50" s="2" t="str">
        <f>=HYPERLINK("mailto:eval_39@auto.com", "eval_39@auto.com")</f>
        <v>eval_39@auto.com</v>
      </c>
      <c r="O50" t="inlineStr">
        <is>
          <t>06b1ae1c7f1b4c39ba17690d360a0cd7</t>
        </is>
      </c>
    </row>
    <row r="51" ht="25.5" customHeight="1">
      <c r="A51" t="inlineStr">
        <is>
          <t>Booking Calendar</t>
        </is>
      </c>
      <c r="B51">
        <v>4</v>
      </c>
      <c r="C51" t="inlineStr">
        <is>
          <t>@杨春玉</t>
        </is>
      </c>
      <c r="D51">
        <v>1</v>
      </c>
      <c r="E51"/>
      <c r="F51" t="inlineStr">
        <is>
          <t>@陈佳杰</t>
        </is>
      </c>
      <c r="G51">
        <v>1</v>
      </c>
      <c r="H51"/>
      <c r="I51">
        <v>13</v>
      </c>
      <c r="J51" t="inlineStr">
        <is>
          <t>Verify that the table includes all relevant pricing information</t>
        </is>
      </c>
      <c r="K51" t="inlineStr">
        <is>
          <t>验证表格包含所有相关定价信息</t>
        </is>
      </c>
      <c r="L51" s="2" t="str">
        <f>=HYPERLINK("http://pre.mgx.dev/chat/06b1ae1c7f1b4c39ba17690d360a0cd7", "http://pre.mgx.dev/chat/06b1ae1c7f1b4c39ba17690d360a0cd7")</f>
        <v>http://pre.mgx.dev/chat/06b1ae1c7f1b4c39ba17690d360a0cd7</v>
      </c>
      <c r="M51" s="2" t="str">
        <f>=HYPERLINK("", "https://45749-06b1ae1c7f1b4c39ba17690d360a0cd7-3-latest.app.beta.mgx.dev")</f>
        <v>https://45749-06b1ae1c7f1b4c39ba17690d360a0cd7-3-latest.app.beta.mgx.dev</v>
      </c>
      <c r="N51" s="2" t="str">
        <f>=HYPERLINK("mailto:eval_39@auto.com", "eval_39@auto.com")</f>
        <v>eval_39@auto.com</v>
      </c>
      <c r="O51" t="inlineStr">
        <is>
          <t>06b1ae1c7f1b4c39ba17690d360a0cd7</t>
        </is>
      </c>
    </row>
    <row r="52" ht="25.5" customHeight="1">
      <c r="A52" t="inlineStr">
        <is>
          <t>Booking Calendar</t>
        </is>
      </c>
      <c r="B52">
        <v>4</v>
      </c>
      <c r="C52" t="inlineStr">
        <is>
          <t>@杨春玉</t>
        </is>
      </c>
      <c r="D52">
        <v>0</v>
      </c>
      <c r="E52" t="inlineStr">
        <is>
          <t>无法通过筛选器选择时间</t>
        </is>
      </c>
      <c r="F52" t="inlineStr">
        <is>
          <t>@陈佳杰</t>
        </is>
      </c>
      <c r="G52">
        <v>1</v>
      </c>
      <c r="H52"/>
      <c r="I52">
        <v>14</v>
      </c>
      <c r="J52" t="inlineStr">
        <is>
          <t>Verify that time slots are displayed for a selected date</t>
        </is>
      </c>
      <c r="K52" t="inlineStr">
        <is>
          <t>验证选中日期后展示对应的时间段</t>
        </is>
      </c>
      <c r="L52" s="2" t="str">
        <f>=HYPERLINK("http://pre.mgx.dev/chat/06b1ae1c7f1b4c39ba17690d360a0cd7", "http://pre.mgx.dev/chat/06b1ae1c7f1b4c39ba17690d360a0cd7")</f>
        <v>http://pre.mgx.dev/chat/06b1ae1c7f1b4c39ba17690d360a0cd7</v>
      </c>
      <c r="M52" s="2" t="str">
        <f>=HYPERLINK("", "https://45749-06b1ae1c7f1b4c39ba17690d360a0cd7-3-latest.app.beta.mgx.dev")</f>
        <v>https://45749-06b1ae1c7f1b4c39ba17690d360a0cd7-3-latest.app.beta.mgx.dev</v>
      </c>
      <c r="N52" s="2" t="str">
        <f>=HYPERLINK("mailto:eval_39@auto.com", "eval_39@auto.com")</f>
        <v>eval_39@auto.com</v>
      </c>
      <c r="O52" t="inlineStr">
        <is>
          <t>06b1ae1c7f1b4c39ba17690d360a0cd7</t>
        </is>
      </c>
    </row>
    <row r="53" ht="25.5" customHeight="1">
      <c r="A53" t="inlineStr">
        <is>
          <t>CSS Animation Playground</t>
        </is>
      </c>
      <c r="B53">
        <v>5</v>
      </c>
      <c r="C53" t="inlineStr">
        <is>
          <t>@杨春玉</t>
        </is>
      </c>
      <c r="D53">
        <v>1</v>
      </c>
      <c r="E53"/>
      <c r="F53" t="inlineStr">
        <is>
          <t>@陈佳杰</t>
        </is>
      </c>
      <c r="G53">
        <v>1</v>
      </c>
      <c r="H53"/>
      <c r="I53">
        <v>1</v>
      </c>
      <c r="J53" t="inlineStr">
        <is>
          <t>Check if the animation control panel is present and accessible</t>
        </is>
      </c>
      <c r="K53" t="inlineStr">
        <is>
          <t>检查动画控制面板是否存在且可访问</t>
        </is>
      </c>
      <c r="L53" s="2" t="str">
        <f>=HYPERLINK("http://pre.mgx.dev/chat/ecfc791b1ea34d56892db1cac2952ee4", "http://pre.mgx.dev/chat/ecfc791b1ea34d56892db1cac2952ee4")</f>
        <v>http://pre.mgx.dev/chat/ecfc791b1ea34d56892db1cac2952ee4</v>
      </c>
      <c r="M53" s="2" t="str">
        <f>=HYPERLINK("", "https://45798-ecfc791b1ea34d56892db1cac2952ee4-3-latest.app.beta.mgx.dev")</f>
        <v>https://45798-ecfc791b1ea34d56892db1cac2952ee4-3-latest.app.beta.mgx.dev</v>
      </c>
      <c r="N53" s="2" t="str">
        <f>=HYPERLINK("mailto:eval_88@auto.com", "eval_88@auto.com")</f>
        <v>eval_88@auto.com</v>
      </c>
      <c r="O53" t="inlineStr">
        <is>
          <t>ecfc791b1ea34d56892db1cac2952ee4</t>
        </is>
      </c>
    </row>
    <row r="54" ht="25.5" customHeight="1">
      <c r="A54" t="inlineStr">
        <is>
          <t>CSS Animation Playground</t>
        </is>
      </c>
      <c r="B54">
        <v>5</v>
      </c>
      <c r="C54" t="inlineStr">
        <is>
          <t>@杨春玉</t>
        </is>
      </c>
      <c r="D54">
        <v>1</v>
      </c>
      <c r="E54"/>
      <c r="F54" t="inlineStr">
        <is>
          <t>@陈佳杰</t>
        </is>
      </c>
      <c r="G54">
        <v>1</v>
      </c>
      <c r="H54"/>
      <c r="I54">
        <v>2</v>
      </c>
      <c r="J54" t="inlineStr">
        <is>
          <t>Check if the animation fill mode options (none, forwards, backwards, both) are functioning</t>
        </is>
      </c>
      <c r="K54" t="inlineStr">
        <is>
          <t>检查动画填充模式选项（无、向前、向后、两者）是否正常生效</t>
        </is>
      </c>
      <c r="L54" s="2" t="str">
        <f>=HYPERLINK("http://pre.mgx.dev/chat/ecfc791b1ea34d56892db1cac2952ee4", "http://pre.mgx.dev/chat/ecfc791b1ea34d56892db1cac2952ee4")</f>
        <v>http://pre.mgx.dev/chat/ecfc791b1ea34d56892db1cac2952ee4</v>
      </c>
      <c r="M54" s="2" t="str">
        <f>=HYPERLINK("", "https://45798-ecfc791b1ea34d56892db1cac2952ee4-3-latest.app.beta.mgx.dev")</f>
        <v>https://45798-ecfc791b1ea34d56892db1cac2952ee4-3-latest.app.beta.mgx.dev</v>
      </c>
      <c r="N54" s="2" t="str">
        <f>=HYPERLINK("mailto:eval_88@auto.com", "eval_88@auto.com")</f>
        <v>eval_88@auto.com</v>
      </c>
      <c r="O54" t="inlineStr">
        <is>
          <t>ecfc791b1ea34d56892db1cac2952ee4</t>
        </is>
      </c>
    </row>
    <row r="55" ht="25.5" customHeight="1">
      <c r="A55" t="inlineStr">
        <is>
          <t>CSS Animation Playground</t>
        </is>
      </c>
      <c r="B55">
        <v>5</v>
      </c>
      <c r="C55" t="inlineStr">
        <is>
          <t>@杨春玉</t>
        </is>
      </c>
      <c r="D55">
        <v>1</v>
      </c>
      <c r="E55"/>
      <c r="F55" t="inlineStr">
        <is>
          <t>@陈佳杰</t>
        </is>
      </c>
      <c r="G55">
        <v>1</v>
      </c>
      <c r="H55"/>
      <c r="I55">
        <v>3</v>
      </c>
      <c r="J55" t="inlineStr">
        <is>
          <t>Test if changing animation duration affects the animation speed</t>
        </is>
      </c>
      <c r="K55" t="inlineStr">
        <is>
          <t>测试修改动画时长是否影响动画速度</t>
        </is>
      </c>
      <c r="L55" s="2" t="str">
        <f>=HYPERLINK("http://pre.mgx.dev/chat/ecfc791b1ea34d56892db1cac2952ee4", "http://pre.mgx.dev/chat/ecfc791b1ea34d56892db1cac2952ee4")</f>
        <v>http://pre.mgx.dev/chat/ecfc791b1ea34d56892db1cac2952ee4</v>
      </c>
      <c r="M55" s="2" t="str">
        <f>=HYPERLINK("", "https://45798-ecfc791b1ea34d56892db1cac2952ee4-3-latest.app.beta.mgx.dev")</f>
        <v>https://45798-ecfc791b1ea34d56892db1cac2952ee4-3-latest.app.beta.mgx.dev</v>
      </c>
      <c r="N55" s="2" t="str">
        <f>=HYPERLINK("mailto:eval_88@auto.com", "eval_88@auto.com")</f>
        <v>eval_88@auto.com</v>
      </c>
      <c r="O55" t="inlineStr">
        <is>
          <t>ecfc791b1ea34d56892db1cac2952ee4</t>
        </is>
      </c>
    </row>
    <row r="56" ht="25.5" customHeight="1">
      <c r="A56" t="inlineStr">
        <is>
          <t>CSS Animation Playground</t>
        </is>
      </c>
      <c r="B56">
        <v>5</v>
      </c>
      <c r="C56" t="inlineStr">
        <is>
          <t>@杨春玉</t>
        </is>
      </c>
      <c r="D56">
        <v>1</v>
      </c>
      <c r="E56"/>
      <c r="F56" t="inlineStr">
        <is>
          <t>@陈佳杰</t>
        </is>
      </c>
      <c r="G56">
        <v>1</v>
      </c>
      <c r="H56"/>
      <c r="I56">
        <v>4</v>
      </c>
      <c r="J56" t="inlineStr">
        <is>
          <t>Test if the CSS Animation Playground webpage loads successfully</t>
        </is>
      </c>
      <c r="K56" t="inlineStr">
        <is>
          <t>测试CSS动画实验场网页是否成功加载</t>
        </is>
      </c>
      <c r="L56" s="2" t="str">
        <f>=HYPERLINK("http://pre.mgx.dev/chat/ecfc791b1ea34d56892db1cac2952ee4", "http://pre.mgx.dev/chat/ecfc791b1ea34d56892db1cac2952ee4")</f>
        <v>http://pre.mgx.dev/chat/ecfc791b1ea34d56892db1cac2952ee4</v>
      </c>
      <c r="M56" s="2" t="str">
        <f>=HYPERLINK("", "https://45798-ecfc791b1ea34d56892db1cac2952ee4-3-latest.app.beta.mgx.dev")</f>
        <v>https://45798-ecfc791b1ea34d56892db1cac2952ee4-3-latest.app.beta.mgx.dev</v>
      </c>
      <c r="N56" s="2" t="str">
        <f>=HYPERLINK("mailto:eval_88@auto.com", "eval_88@auto.com")</f>
        <v>eval_88@auto.com</v>
      </c>
      <c r="O56" t="inlineStr">
        <is>
          <t>ecfc791b1ea34d56892db1cac2952ee4</t>
        </is>
      </c>
    </row>
    <row r="57" ht="25.5" customHeight="1">
      <c r="A57" t="inlineStr">
        <is>
          <t>CSS Animation Playground</t>
        </is>
      </c>
      <c r="B57">
        <v>5</v>
      </c>
      <c r="C57" t="inlineStr">
        <is>
          <t>@杨春玉</t>
        </is>
      </c>
      <c r="D57">
        <v>1</v>
      </c>
      <c r="E57"/>
      <c r="F57" t="inlineStr">
        <is>
          <t>@陈佳杰</t>
        </is>
      </c>
      <c r="G57">
        <v>1</v>
      </c>
      <c r="H57"/>
      <c r="I57">
        <v>5</v>
      </c>
      <c r="J57" t="inlineStr">
        <is>
          <t>Test if the animation direction options (normal, reverse, alternate) are working correctly</t>
        </is>
      </c>
      <c r="K57" t="inlineStr">
        <is>
          <t>测试动画方向选项（正常、反向、交替）是否正常生效</t>
        </is>
      </c>
      <c r="L57" s="2" t="str">
        <f>=HYPERLINK("http://pre.mgx.dev/chat/ecfc791b1ea34d56892db1cac2952ee4", "http://pre.mgx.dev/chat/ecfc791b1ea34d56892db1cac2952ee4")</f>
        <v>http://pre.mgx.dev/chat/ecfc791b1ea34d56892db1cac2952ee4</v>
      </c>
      <c r="M57" s="2" t="str">
        <f>=HYPERLINK("", "https://45798-ecfc791b1ea34d56892db1cac2952ee4-3-latest.app.beta.mgx.dev")</f>
        <v>https://45798-ecfc791b1ea34d56892db1cac2952ee4-3-latest.app.beta.mgx.dev</v>
      </c>
      <c r="N57" s="2" t="str">
        <f>=HYPERLINK("mailto:eval_88@auto.com", "eval_88@auto.com")</f>
        <v>eval_88@auto.com</v>
      </c>
      <c r="O57" t="inlineStr">
        <is>
          <t>ecfc791b1ea34d56892db1cac2952ee4</t>
        </is>
      </c>
    </row>
    <row r="58" ht="25.5" customHeight="1">
      <c r="A58" t="inlineStr">
        <is>
          <t>CSS Animation Playground</t>
        </is>
      </c>
      <c r="B58">
        <v>5</v>
      </c>
      <c r="C58" t="inlineStr">
        <is>
          <t>@杨春玉</t>
        </is>
      </c>
      <c r="D58">
        <v>1</v>
      </c>
      <c r="E58"/>
      <c r="F58" t="inlineStr">
        <is>
          <t>@陈佳杰</t>
        </is>
      </c>
      <c r="G58">
        <v>1</v>
      </c>
      <c r="H58"/>
      <c r="I58">
        <v>6</v>
      </c>
      <c r="J58" t="inlineStr">
        <is>
          <t>Test if the animation pause button stops the ongoing animation</t>
        </is>
      </c>
      <c r="K58" t="inlineStr">
        <is>
          <t>测试动画暂停按钮是否可停止正在播放的动画</t>
        </is>
      </c>
      <c r="L58" s="2" t="str">
        <f>=HYPERLINK("http://pre.mgx.dev/chat/ecfc791b1ea34d56892db1cac2952ee4", "http://pre.mgx.dev/chat/ecfc791b1ea34d56892db1cac2952ee4")</f>
        <v>http://pre.mgx.dev/chat/ecfc791b1ea34d56892db1cac2952ee4</v>
      </c>
      <c r="M58" s="2" t="str">
        <f>=HYPERLINK("", "https://45798-ecfc791b1ea34d56892db1cac2952ee4-3-latest.app.beta.mgx.dev")</f>
        <v>https://45798-ecfc791b1ea34d56892db1cac2952ee4-3-latest.app.beta.mgx.dev</v>
      </c>
      <c r="N58" s="2" t="str">
        <f>=HYPERLINK("mailto:eval_88@auto.com", "eval_88@auto.com")</f>
        <v>eval_88@auto.com</v>
      </c>
      <c r="O58" t="inlineStr">
        <is>
          <t>ecfc791b1ea34d56892db1cac2952ee4</t>
        </is>
      </c>
    </row>
    <row r="59" ht="25.5" customHeight="1">
      <c r="A59" t="inlineStr">
        <is>
          <t>CSS Animation Playground</t>
        </is>
      </c>
      <c r="B59">
        <v>5</v>
      </c>
      <c r="C59" t="inlineStr">
        <is>
          <t>@杨春玉</t>
        </is>
      </c>
      <c r="D59">
        <v>1</v>
      </c>
      <c r="E59"/>
      <c r="F59" t="inlineStr">
        <is>
          <t>@陈佳杰</t>
        </is>
      </c>
      <c r="G59">
        <v>1</v>
      </c>
      <c r="H59"/>
      <c r="I59">
        <v>7</v>
      </c>
      <c r="J59" t="inlineStr">
        <is>
          <t>Test if the animation reset button returns the element to its initial state</t>
        </is>
      </c>
      <c r="K59" t="inlineStr">
        <is>
          <t>测试动画重置按钮是否可将元素恢复至初始状态</t>
        </is>
      </c>
      <c r="L59" s="2" t="str">
        <f>=HYPERLINK("http://pre.mgx.dev/chat/ecfc791b1ea34d56892db1cac2952ee4", "http://pre.mgx.dev/chat/ecfc791b1ea34d56892db1cac2952ee4")</f>
        <v>http://pre.mgx.dev/chat/ecfc791b1ea34d56892db1cac2952ee4</v>
      </c>
      <c r="M59" s="2" t="str">
        <f>=HYPERLINK("", "https://45798-ecfc791b1ea34d56892db1cac2952ee4-3-latest.app.beta.mgx.dev")</f>
        <v>https://45798-ecfc791b1ea34d56892db1cac2952ee4-3-latest.app.beta.mgx.dev</v>
      </c>
      <c r="N59" s="2" t="str">
        <f>=HYPERLINK("mailto:eval_88@auto.com", "eval_88@auto.com")</f>
        <v>eval_88@auto.com</v>
      </c>
      <c r="O59" t="inlineStr">
        <is>
          <t>ecfc791b1ea34d56892db1cac2952ee4</t>
        </is>
      </c>
    </row>
    <row r="60" ht="25.5" customHeight="1">
      <c r="A60" t="inlineStr">
        <is>
          <t>CSS Animation Playground</t>
        </is>
      </c>
      <c r="B60">
        <v>5</v>
      </c>
      <c r="C60" t="inlineStr">
        <is>
          <t>@杨春玉</t>
        </is>
      </c>
      <c r="D60">
        <v>1</v>
      </c>
      <c r="E60"/>
      <c r="F60" t="inlineStr">
        <is>
          <t>@陈佳杰</t>
        </is>
      </c>
      <c r="G60">
        <v>1</v>
      </c>
      <c r="H60"/>
      <c r="I60">
        <v>8</v>
      </c>
      <c r="J60" t="inlineStr">
        <is>
          <t>Test if the animation start button triggers the animation</t>
        </is>
      </c>
      <c r="K60" t="inlineStr">
        <is>
          <t>测试动画开始按钮是否可触发动画播放</t>
        </is>
      </c>
      <c r="L60" s="2" t="str">
        <f>=HYPERLINK("http://pre.mgx.dev/chat/ecfc791b1ea34d56892db1cac2952ee4", "http://pre.mgx.dev/chat/ecfc791b1ea34d56892db1cac2952ee4")</f>
        <v>http://pre.mgx.dev/chat/ecfc791b1ea34d56892db1cac2952ee4</v>
      </c>
      <c r="M60" s="2" t="str">
        <f>=HYPERLINK("", "https://45798-ecfc791b1ea34d56892db1cac2952ee4-3-latest.app.beta.mgx.dev")</f>
        <v>https://45798-ecfc791b1ea34d56892db1cac2952ee4-3-latest.app.beta.mgx.dev</v>
      </c>
      <c r="N60" s="2" t="str">
        <f>=HYPERLINK("mailto:eval_88@auto.com", "eval_88@auto.com")</f>
        <v>eval_88@auto.com</v>
      </c>
      <c r="O60" t="inlineStr">
        <is>
          <t>ecfc791b1ea34d56892db1cac2952ee4</t>
        </is>
      </c>
    </row>
    <row r="61" ht="25.5" customHeight="1">
      <c r="A61" t="inlineStr">
        <is>
          <t>CSS Animation Playground</t>
        </is>
      </c>
      <c r="B61">
        <v>5</v>
      </c>
      <c r="C61" t="inlineStr">
        <is>
          <t>@杨春玉</t>
        </is>
      </c>
      <c r="D61">
        <v>1</v>
      </c>
      <c r="E61"/>
      <c r="F61" t="inlineStr">
        <is>
          <t>@陈佳杰</t>
        </is>
      </c>
      <c r="G61">
        <v>1</v>
      </c>
      <c r="H61"/>
      <c r="I61">
        <v>9</v>
      </c>
      <c r="J61" t="inlineStr">
        <is>
          <t>Verify that the animation duration input field accepts numeric values</t>
        </is>
      </c>
      <c r="K61" t="inlineStr">
        <is>
          <t>验证动画时长输入框可接收数字值</t>
        </is>
      </c>
      <c r="L61" s="2" t="str">
        <f>=HYPERLINK("http://pre.mgx.dev/chat/ecfc791b1ea34d56892db1cac2952ee4", "http://pre.mgx.dev/chat/ecfc791b1ea34d56892db1cac2952ee4")</f>
        <v>http://pre.mgx.dev/chat/ecfc791b1ea34d56892db1cac2952ee4</v>
      </c>
      <c r="M61" s="2" t="str">
        <f>=HYPERLINK("", "https://45798-ecfc791b1ea34d56892db1cac2952ee4-3-latest.app.beta.mgx.dev")</f>
        <v>https://45798-ecfc791b1ea34d56892db1cac2952ee4-3-latest.app.beta.mgx.dev</v>
      </c>
      <c r="N61" s="2" t="str">
        <f>=HYPERLINK("mailto:eval_88@auto.com", "eval_88@auto.com")</f>
        <v>eval_88@auto.com</v>
      </c>
      <c r="O61" t="inlineStr">
        <is>
          <t>ecfc791b1ea34d56892db1cac2952ee4</t>
        </is>
      </c>
    </row>
    <row r="62" ht="25.5" customHeight="1">
      <c r="A62" t="inlineStr">
        <is>
          <t>CSS Animation Playground</t>
        </is>
      </c>
      <c r="B62">
        <v>5</v>
      </c>
      <c r="C62" t="inlineStr">
        <is>
          <t>@杨春玉</t>
        </is>
      </c>
      <c r="D62">
        <v>0</v>
      </c>
      <c r="E62" t="inlineStr">
        <is>
          <t>动画循环次数是下拉框</t>
        </is>
      </c>
      <c r="F62" t="inlineStr">
        <is>
          <t>@陈佳杰</t>
        </is>
      </c>
      <c r="G62">
        <v>0</v>
      </c>
      <c r="H62" t="inlineStr">
        <is>
          <t>交互与预期不一致</t>
        </is>
      </c>
      <c r="I62">
        <v>10</v>
      </c>
      <c r="J62" t="inlineStr">
        <is>
          <t>Verify that the animation iteration count input accepts numeric values and 'infinite'</t>
        </is>
      </c>
      <c r="K62" t="inlineStr">
        <is>
          <t>验证动画循环次数输入框可接收数字值和“无限”指令</t>
        </is>
      </c>
      <c r="L62" s="2" t="str">
        <f>=HYPERLINK("http://pre.mgx.dev/chat/ecfc791b1ea34d56892db1cac2952ee4", "http://pre.mgx.dev/chat/ecfc791b1ea34d56892db1cac2952ee4")</f>
        <v>http://pre.mgx.dev/chat/ecfc791b1ea34d56892db1cac2952ee4</v>
      </c>
      <c r="M62" s="2" t="str">
        <f>=HYPERLINK("", "https://45798-ecfc791b1ea34d56892db1cac2952ee4-3-latest.app.beta.mgx.dev")</f>
        <v>https://45798-ecfc791b1ea34d56892db1cac2952ee4-3-latest.app.beta.mgx.dev</v>
      </c>
      <c r="N62" s="2" t="str">
        <f>=HYPERLINK("mailto:eval_88@auto.com", "eval_88@auto.com")</f>
        <v>eval_88@auto.com</v>
      </c>
      <c r="O62" t="inlineStr">
        <is>
          <t>ecfc791b1ea34d56892db1cac2952ee4</t>
        </is>
      </c>
    </row>
    <row r="63" ht="25.5" customHeight="1">
      <c r="A63" t="inlineStr">
        <is>
          <t>CSS Animation Playground</t>
        </is>
      </c>
      <c r="B63">
        <v>5</v>
      </c>
      <c r="C63" t="inlineStr">
        <is>
          <t>@杨春玉</t>
        </is>
      </c>
      <c r="D63">
        <v>1</v>
      </c>
      <c r="E63"/>
      <c r="F63" t="inlineStr">
        <is>
          <t>@陈佳杰</t>
        </is>
      </c>
      <c r="G63">
        <v>1</v>
      </c>
      <c r="H63"/>
      <c r="I63">
        <v>11</v>
      </c>
      <c r="J63" t="inlineStr">
        <is>
          <t>Verify that the animation timing function dropdown is populated with standard options (linear, ease, ease-in, ease-out, etc.)</t>
        </is>
      </c>
      <c r="K63" t="inlineStr">
        <is>
          <t>验证动画时间函数下拉菜单包含标准选项（线性、缓入、缓出等）</t>
        </is>
      </c>
      <c r="L63" s="2" t="str">
        <f>=HYPERLINK("http://pre.mgx.dev/chat/ecfc791b1ea34d56892db1cac2952ee4", "http://pre.mgx.dev/chat/ecfc791b1ea34d56892db1cac2952ee4")</f>
        <v>http://pre.mgx.dev/chat/ecfc791b1ea34d56892db1cac2952ee4</v>
      </c>
      <c r="M63" s="2" t="str">
        <f>=HYPERLINK("", "https://45798-ecfc791b1ea34d56892db1cac2952ee4-3-latest.app.beta.mgx.dev")</f>
        <v>https://45798-ecfc791b1ea34d56892db1cac2952ee4-3-latest.app.beta.mgx.dev</v>
      </c>
      <c r="N63" s="2" t="str">
        <f>=HYPERLINK("mailto:eval_88@auto.com", "eval_88@auto.com")</f>
        <v>eval_88@auto.com</v>
      </c>
      <c r="O63" t="inlineStr">
        <is>
          <t>ecfc791b1ea34d56892db1cac2952ee4</t>
        </is>
      </c>
    </row>
    <row r="64" ht="25.5" customHeight="1">
      <c r="A64" t="inlineStr">
        <is>
          <t>Choice Story</t>
        </is>
      </c>
      <c r="B64">
        <v>6</v>
      </c>
      <c r="C64" t="inlineStr">
        <is>
          <t>@杨春玉</t>
        </is>
      </c>
      <c r="D64">
        <v>1</v>
      </c>
      <c r="E64"/>
      <c r="F64" t="inlineStr">
        <is>
          <t>@陈佳杰</t>
        </is>
      </c>
      <c r="G64">
        <v>1</v>
      </c>
      <c r="H64"/>
      <c r="I64">
        <v>1</v>
      </c>
      <c r="J64" t="inlineStr">
        <is>
          <t>Check if the game correctly tracks and applies the player's choices to determine the ending</t>
        </is>
      </c>
      <c r="K64" t="inlineStr">
        <is>
          <t>检查游戏是否正确记录并根据玩家选择推导结局</t>
        </is>
      </c>
      <c r="L64" s="2" t="str">
        <f>=HYPERLINK("http://pre.mgx.dev/chat/a7fa05bb48114f5abbe9b1e4e7542a80", "http://pre.mgx.dev/chat/a7fa05bb48114f5abbe9b1e4e7542a80")</f>
        <v>http://pre.mgx.dev/chat/a7fa05bb48114f5abbe9b1e4e7542a80</v>
      </c>
      <c r="M64" s="2" t="str">
        <f>=HYPERLINK("", "https://45775-a7fa05bb48114f5abbe9b1e4e7542a80-3-latest.app.beta.mgx.dev")</f>
        <v>https://45775-a7fa05bb48114f5abbe9b1e4e7542a80-3-latest.app.beta.mgx.dev</v>
      </c>
      <c r="N64" s="2" t="str">
        <f>=HYPERLINK("mailto:eval_65@auto.com", "eval_65@auto.com")</f>
        <v>eval_65@auto.com</v>
      </c>
      <c r="O64" t="inlineStr">
        <is>
          <t>a7fa05bb48114f5abbe9b1e4e7542a80</t>
        </is>
      </c>
    </row>
    <row r="65" ht="25.5" customHeight="1">
      <c r="A65" t="inlineStr">
        <is>
          <t>Choice Story</t>
        </is>
      </c>
      <c r="B65">
        <v>6</v>
      </c>
      <c r="C65" t="inlineStr">
        <is>
          <t>@杨春玉</t>
        </is>
      </c>
      <c r="D65">
        <v>1</v>
      </c>
      <c r="E65"/>
      <c r="F65" t="inlineStr">
        <is>
          <t>@陈佳杰</t>
        </is>
      </c>
      <c r="G65">
        <v>1</v>
      </c>
      <c r="H65"/>
      <c r="I65">
        <v>2</v>
      </c>
      <c r="J65" t="inlineStr">
        <is>
          <t>Check if the progress bar updates correctly as the player advances through the story</t>
        </is>
      </c>
      <c r="K65" t="inlineStr">
        <is>
          <t>检查玩家推进剧情时进度条是否正确更新</t>
        </is>
      </c>
      <c r="L65" s="2" t="str">
        <f>=HYPERLINK("http://pre.mgx.dev/chat/a7fa05bb48114f5abbe9b1e4e7542a80", "http://pre.mgx.dev/chat/a7fa05bb48114f5abbe9b1e4e7542a80")</f>
        <v>http://pre.mgx.dev/chat/a7fa05bb48114f5abbe9b1e4e7542a80</v>
      </c>
      <c r="M65" s="2" t="str">
        <f>=HYPERLINK("", "https://45775-a7fa05bb48114f5abbe9b1e4e7542a80-3-latest.app.beta.mgx.dev")</f>
        <v>https://45775-a7fa05bb48114f5abbe9b1e4e7542a80-3-latest.app.beta.mgx.dev</v>
      </c>
      <c r="N65" s="2" t="str">
        <f>=HYPERLINK("mailto:eval_65@auto.com", "eval_65@auto.com")</f>
        <v>eval_65@auto.com</v>
      </c>
      <c r="O65" t="inlineStr">
        <is>
          <t>a7fa05bb48114f5abbe9b1e4e7542a80</t>
        </is>
      </c>
    </row>
    <row r="66" ht="25.5" customHeight="1">
      <c r="A66" t="inlineStr">
        <is>
          <t>Choice Story</t>
        </is>
      </c>
      <c r="B66">
        <v>6</v>
      </c>
      <c r="C66" t="inlineStr">
        <is>
          <t>@杨春玉</t>
        </is>
      </c>
      <c r="D66">
        <v>1</v>
      </c>
      <c r="E66"/>
      <c r="F66" t="inlineStr">
        <is>
          <t>@陈佳杰</t>
        </is>
      </c>
      <c r="G66">
        <v>1</v>
      </c>
      <c r="H66"/>
      <c r="I66">
        <v>3</v>
      </c>
      <c r="J66" t="inlineStr">
        <is>
          <t>Check if the story text updates after making a choice</t>
        </is>
      </c>
      <c r="K66" t="inlineStr">
        <is>
          <t>检查玩家做出选择后剧情文本是否更新</t>
        </is>
      </c>
      <c r="L66" s="2" t="str">
        <f>=HYPERLINK("http://pre.mgx.dev/chat/a7fa05bb48114f5abbe9b1e4e7542a80", "http://pre.mgx.dev/chat/a7fa05bb48114f5abbe9b1e4e7542a80")</f>
        <v>http://pre.mgx.dev/chat/a7fa05bb48114f5abbe9b1e4e7542a80</v>
      </c>
      <c r="M66" s="2" t="str">
        <f>=HYPERLINK("", "https://45775-a7fa05bb48114f5abbe9b1e4e7542a80-3-latest.app.beta.mgx.dev")</f>
        <v>https://45775-a7fa05bb48114f5abbe9b1e4e7542a80-3-latest.app.beta.mgx.dev</v>
      </c>
      <c r="N66" s="2" t="str">
        <f>=HYPERLINK("mailto:eval_65@auto.com", "eval_65@auto.com")</f>
        <v>eval_65@auto.com</v>
      </c>
      <c r="O66" t="inlineStr">
        <is>
          <t>a7fa05bb48114f5abbe9b1e4e7542a80</t>
        </is>
      </c>
    </row>
    <row r="67" ht="25.5" customHeight="1">
      <c r="A67" t="inlineStr">
        <is>
          <t>Choice Story</t>
        </is>
      </c>
      <c r="B67">
        <v>6</v>
      </c>
      <c r="C67" t="inlineStr">
        <is>
          <t>@杨春玉</t>
        </is>
      </c>
      <c r="D67">
        <v>1</v>
      </c>
      <c r="E67"/>
      <c r="F67" t="inlineStr">
        <is>
          <t>@陈佳杰</t>
        </is>
      </c>
      <c r="G67">
        <v>1</v>
      </c>
      <c r="H67"/>
      <c r="I67">
        <v>4</v>
      </c>
      <c r="J67" t="inlineStr">
        <is>
          <t>Confirm that option buttons are visible on the screen</t>
        </is>
      </c>
      <c r="K67" t="inlineStr">
        <is>
          <t>确认选项按钮在屏幕上可见</t>
        </is>
      </c>
      <c r="L67" s="2" t="str">
        <f>=HYPERLINK("http://pre.mgx.dev/chat/a7fa05bb48114f5abbe9b1e4e7542a80", "http://pre.mgx.dev/chat/a7fa05bb48114f5abbe9b1e4e7542a80")</f>
        <v>http://pre.mgx.dev/chat/a7fa05bb48114f5abbe9b1e4e7542a80</v>
      </c>
      <c r="M67" s="2" t="str">
        <f>=HYPERLINK("", "https://45775-a7fa05bb48114f5abbe9b1e4e7542a80-3-latest.app.beta.mgx.dev")</f>
        <v>https://45775-a7fa05bb48114f5abbe9b1e4e7542a80-3-latest.app.beta.mgx.dev</v>
      </c>
      <c r="N67" s="2" t="str">
        <f>=HYPERLINK("mailto:eval_65@auto.com", "eval_65@auto.com")</f>
        <v>eval_65@auto.com</v>
      </c>
      <c r="O67" t="inlineStr">
        <is>
          <t>a7fa05bb48114f5abbe9b1e4e7542a80</t>
        </is>
      </c>
    </row>
    <row r="68" ht="25.5" customHeight="1">
      <c r="A68" t="inlineStr">
        <is>
          <t>Choice Story</t>
        </is>
      </c>
      <c r="B68">
        <v>6</v>
      </c>
      <c r="C68" t="inlineStr">
        <is>
          <t>@杨春玉</t>
        </is>
      </c>
      <c r="D68">
        <v>1</v>
      </c>
      <c r="E68"/>
      <c r="F68" t="inlineStr">
        <is>
          <t>@陈佳杰</t>
        </is>
      </c>
      <c r="G68">
        <v>1</v>
      </c>
      <c r="H68"/>
      <c r="I68">
        <v>5</v>
      </c>
      <c r="J68" t="inlineStr">
        <is>
          <t>Ensure that all progress and choices are cleared when restarting the game</t>
        </is>
      </c>
      <c r="K68" t="inlineStr">
        <is>
          <t>确保重新开始游戏时清除所有进度和选择记录</t>
        </is>
      </c>
      <c r="L68" s="2" t="str">
        <f>=HYPERLINK("http://pre.mgx.dev/chat/a7fa05bb48114f5abbe9b1e4e7542a80", "http://pre.mgx.dev/chat/a7fa05bb48114f5abbe9b1e4e7542a80")</f>
        <v>http://pre.mgx.dev/chat/a7fa05bb48114f5abbe9b1e4e7542a80</v>
      </c>
      <c r="M68" s="2" t="str">
        <f>=HYPERLINK("", "https://45775-a7fa05bb48114f5abbe9b1e4e7542a80-3-latest.app.beta.mgx.dev")</f>
        <v>https://45775-a7fa05bb48114f5abbe9b1e4e7542a80-3-latest.app.beta.mgx.dev</v>
      </c>
      <c r="N68" s="2" t="str">
        <f>=HYPERLINK("mailto:eval_65@auto.com", "eval_65@auto.com")</f>
        <v>eval_65@auto.com</v>
      </c>
      <c r="O68" t="inlineStr">
        <is>
          <t>a7fa05bb48114f5abbe9b1e4e7542a80</t>
        </is>
      </c>
    </row>
    <row r="69" ht="25.5" customHeight="1">
      <c r="A69" t="inlineStr">
        <is>
          <t>Choice Story</t>
        </is>
      </c>
      <c r="B69">
        <v>6</v>
      </c>
      <c r="C69" t="inlineStr">
        <is>
          <t>@杨春玉</t>
        </is>
      </c>
      <c r="D69">
        <v>1</v>
      </c>
      <c r="E69"/>
      <c r="F69" t="inlineStr">
        <is>
          <t>@陈佳杰</t>
        </is>
      </c>
      <c r="G69">
        <v>1</v>
      </c>
      <c r="H69"/>
      <c r="I69">
        <v>6</v>
      </c>
      <c r="J69" t="inlineStr">
        <is>
          <t>Ensure that at least three distinct endings are available</t>
        </is>
      </c>
      <c r="K69" t="inlineStr">
        <is>
          <t>确保游戏至少提供3种不同结局</t>
        </is>
      </c>
      <c r="L69" s="2" t="str">
        <f>=HYPERLINK("http://pre.mgx.dev/chat/a7fa05bb48114f5abbe9b1e4e7542a80", "http://pre.mgx.dev/chat/a7fa05bb48114f5abbe9b1e4e7542a80")</f>
        <v>http://pre.mgx.dev/chat/a7fa05bb48114f5abbe9b1e4e7542a80</v>
      </c>
      <c r="M69" s="2" t="str">
        <f>=HYPERLINK("", "https://45775-a7fa05bb48114f5abbe9b1e4e7542a80-3-latest.app.beta.mgx.dev")</f>
        <v>https://45775-a7fa05bb48114f5abbe9b1e4e7542a80-3-latest.app.beta.mgx.dev</v>
      </c>
      <c r="N69" s="2" t="str">
        <f>=HYPERLINK("mailto:eval_65@auto.com", "eval_65@auto.com")</f>
        <v>eval_65@auto.com</v>
      </c>
      <c r="O69" t="inlineStr">
        <is>
          <t>a7fa05bb48114f5abbe9b1e4e7542a80</t>
        </is>
      </c>
    </row>
    <row r="70" ht="25.5" customHeight="1">
      <c r="A70" t="inlineStr">
        <is>
          <t>Choice Story</t>
        </is>
      </c>
      <c r="B70">
        <v>6</v>
      </c>
      <c r="C70" t="inlineStr">
        <is>
          <t>@杨春玉</t>
        </is>
      </c>
      <c r="D70">
        <v>1</v>
      </c>
      <c r="E70"/>
      <c r="F70" t="inlineStr">
        <is>
          <t>@陈佳杰</t>
        </is>
      </c>
      <c r="G70">
        <v>1</v>
      </c>
      <c r="H70"/>
      <c r="I70">
        <v>7</v>
      </c>
      <c r="J70" t="inlineStr">
        <is>
          <t>Ensure that the archive button is present and clickable</t>
        </is>
      </c>
      <c r="K70" t="inlineStr">
        <is>
          <t>确保存档按钮存在且可点击</t>
        </is>
      </c>
      <c r="L70" s="2" t="str">
        <f>=HYPERLINK("http://pre.mgx.dev/chat/a7fa05bb48114f5abbe9b1e4e7542a80", "http://pre.mgx.dev/chat/a7fa05bb48114f5abbe9b1e4e7542a80")</f>
        <v>http://pre.mgx.dev/chat/a7fa05bb48114f5abbe9b1e4e7542a80</v>
      </c>
      <c r="M70" s="2" t="str">
        <f>=HYPERLINK("", "https://45775-a7fa05bb48114f5abbe9b1e4e7542a80-3-latest.app.beta.mgx.dev")</f>
        <v>https://45775-a7fa05bb48114f5abbe9b1e4e7542a80-3-latest.app.beta.mgx.dev</v>
      </c>
      <c r="N70" s="2" t="str">
        <f>=HYPERLINK("mailto:eval_65@auto.com", "eval_65@auto.com")</f>
        <v>eval_65@auto.com</v>
      </c>
      <c r="O70" t="inlineStr">
        <is>
          <t>a7fa05bb48114f5abbe9b1e4e7542a80</t>
        </is>
      </c>
    </row>
    <row r="71" ht="25.5" customHeight="1">
      <c r="A71" t="inlineStr">
        <is>
          <t>Choice Story</t>
        </is>
      </c>
      <c r="B71">
        <v>6</v>
      </c>
      <c r="C71" t="inlineStr">
        <is>
          <t>@杨春玉</t>
        </is>
      </c>
      <c r="D71">
        <v>1</v>
      </c>
      <c r="E71"/>
      <c r="F71" t="inlineStr">
        <is>
          <t>@陈佳杰</t>
        </is>
      </c>
      <c r="G71">
        <v>1</v>
      </c>
      <c r="H71"/>
      <c r="I71">
        <v>8</v>
      </c>
      <c r="J71" t="inlineStr">
        <is>
          <t>Test if clicking the archive button saves the current game progress</t>
        </is>
      </c>
      <c r="K71" t="inlineStr">
        <is>
          <t>测试点击存档按钮是否保存当前游戏进度</t>
        </is>
      </c>
      <c r="L71" s="2" t="str">
        <f>=HYPERLINK("http://pre.mgx.dev/chat/a7fa05bb48114f5abbe9b1e4e7542a80", "http://pre.mgx.dev/chat/a7fa05bb48114f5abbe9b1e4e7542a80")</f>
        <v>http://pre.mgx.dev/chat/a7fa05bb48114f5abbe9b1e4e7542a80</v>
      </c>
      <c r="M71" s="2" t="str">
        <f>=HYPERLINK("", "https://45775-a7fa05bb48114f5abbe9b1e4e7542a80-3-latest.app.beta.mgx.dev")</f>
        <v>https://45775-a7fa05bb48114f5abbe9b1e4e7542a80-3-latest.app.beta.mgx.dev</v>
      </c>
      <c r="N71" s="2" t="str">
        <f>=HYPERLINK("mailto:eval_65@auto.com", "eval_65@auto.com")</f>
        <v>eval_65@auto.com</v>
      </c>
      <c r="O71" t="inlineStr">
        <is>
          <t>a7fa05bb48114f5abbe9b1e4e7542a80</t>
        </is>
      </c>
    </row>
    <row r="72" ht="25.5" customHeight="1">
      <c r="A72" t="inlineStr">
        <is>
          <t>Choice Story</t>
        </is>
      </c>
      <c r="B72">
        <v>6</v>
      </c>
      <c r="C72" t="inlineStr">
        <is>
          <t>@杨春玉</t>
        </is>
      </c>
      <c r="D72">
        <v>1</v>
      </c>
      <c r="E72"/>
      <c r="F72" t="inlineStr">
        <is>
          <t>@陈佳杰</t>
        </is>
      </c>
      <c r="G72">
        <v>1</v>
      </c>
      <c r="H72"/>
      <c r="I72">
        <v>9</v>
      </c>
      <c r="J72" t="inlineStr">
        <is>
          <t>Test if clicking the restart button resets the game to the beginning</t>
        </is>
      </c>
      <c r="K72" t="inlineStr">
        <is>
          <t>测试点击重新开始按钮是否将游戏重置至初始状态</t>
        </is>
      </c>
      <c r="L72" s="2" t="str">
        <f>=HYPERLINK("http://pre.mgx.dev/chat/a7fa05bb48114f5abbe9b1e4e7542a80", "http://pre.mgx.dev/chat/a7fa05bb48114f5abbe9b1e4e7542a80")</f>
        <v>http://pre.mgx.dev/chat/a7fa05bb48114f5abbe9b1e4e7542a80</v>
      </c>
      <c r="M72" s="2" t="str">
        <f>=HYPERLINK("", "https://45775-a7fa05bb48114f5abbe9b1e4e7542a80-3-latest.app.beta.mgx.dev")</f>
        <v>https://45775-a7fa05bb48114f5abbe9b1e4e7542a80-3-latest.app.beta.mgx.dev</v>
      </c>
      <c r="N72" s="2" t="str">
        <f>=HYPERLINK("mailto:eval_65@auto.com", "eval_65@auto.com")</f>
        <v>eval_65@auto.com</v>
      </c>
      <c r="O72" t="inlineStr">
        <is>
          <t>a7fa05bb48114f5abbe9b1e4e7542a80</t>
        </is>
      </c>
    </row>
    <row r="73" ht="25.5" customHeight="1">
      <c r="A73" t="inlineStr">
        <is>
          <t>Choice Story</t>
        </is>
      </c>
      <c r="B73">
        <v>6</v>
      </c>
      <c r="C73" t="inlineStr">
        <is>
          <t>@杨春玉</t>
        </is>
      </c>
      <c r="D73">
        <v>1</v>
      </c>
      <c r="E73"/>
      <c r="F73" t="inlineStr">
        <is>
          <t>@陈佳杰</t>
        </is>
      </c>
      <c r="G73">
        <v>1</v>
      </c>
      <c r="H73"/>
      <c r="I73">
        <v>10</v>
      </c>
      <c r="J73" t="inlineStr">
        <is>
          <t>Test that option buttons are clickable and responsive</t>
        </is>
      </c>
      <c r="K73" t="inlineStr">
        <is>
          <t>测试选项按钮可点击且响应及时</t>
        </is>
      </c>
      <c r="L73" s="2" t="str">
        <f>=HYPERLINK("http://pre.mgx.dev/chat/a7fa05bb48114f5abbe9b1e4e7542a80", "http://pre.mgx.dev/chat/a7fa05bb48114f5abbe9b1e4e7542a80")</f>
        <v>http://pre.mgx.dev/chat/a7fa05bb48114f5abbe9b1e4e7542a80</v>
      </c>
      <c r="M73" s="2" t="str">
        <f>=HYPERLINK("", "https://45775-a7fa05bb48114f5abbe9b1e4e7542a80-3-latest.app.beta.mgx.dev")</f>
        <v>https://45775-a7fa05bb48114f5abbe9b1e4e7542a80-3-latest.app.beta.mgx.dev</v>
      </c>
      <c r="N73" s="2" t="str">
        <f>=HYPERLINK("mailto:eval_65@auto.com", "eval_65@auto.com")</f>
        <v>eval_65@auto.com</v>
      </c>
      <c r="O73" t="inlineStr">
        <is>
          <t>a7fa05bb48114f5abbe9b1e4e7542a80</t>
        </is>
      </c>
    </row>
    <row r="74" ht="25.5" customHeight="1">
      <c r="A74" t="inlineStr">
        <is>
          <t>Choice Story</t>
        </is>
      </c>
      <c r="B74">
        <v>6</v>
      </c>
      <c r="C74" t="inlineStr">
        <is>
          <t>@杨春玉</t>
        </is>
      </c>
      <c r="D74">
        <v>1</v>
      </c>
      <c r="E74"/>
      <c r="F74" t="inlineStr">
        <is>
          <t>@陈佳杰</t>
        </is>
      </c>
      <c r="G74">
        <v>1</v>
      </c>
      <c r="H74"/>
      <c r="I74">
        <v>11</v>
      </c>
      <c r="J74" t="inlineStr">
        <is>
          <t>Validate that different endings are reached based on different choice combinations</t>
        </is>
      </c>
      <c r="K74" t="inlineStr">
        <is>
          <t>验证不同选择组合可触发不同结局</t>
        </is>
      </c>
      <c r="L74" s="2" t="str">
        <f>=HYPERLINK("http://pre.mgx.dev/chat/a7fa05bb48114f5abbe9b1e4e7542a80", "http://pre.mgx.dev/chat/a7fa05bb48114f5abbe9b1e4e7542a80")</f>
        <v>http://pre.mgx.dev/chat/a7fa05bb48114f5abbe9b1e4e7542a80</v>
      </c>
      <c r="M74" s="2" t="str">
        <f>=HYPERLINK("", "https://45775-a7fa05bb48114f5abbe9b1e4e7542a80-3-latest.app.beta.mgx.dev")</f>
        <v>https://45775-a7fa05bb48114f5abbe9b1e4e7542a80-3-latest.app.beta.mgx.dev</v>
      </c>
      <c r="N74" s="2" t="str">
        <f>=HYPERLINK("mailto:eval_65@auto.com", "eval_65@auto.com")</f>
        <v>eval_65@auto.com</v>
      </c>
      <c r="O74" t="inlineStr">
        <is>
          <t>a7fa05bb48114f5abbe9b1e4e7542a80</t>
        </is>
      </c>
    </row>
    <row r="75" ht="25.5" customHeight="1">
      <c r="A75" t="inlineStr">
        <is>
          <t>Choice Story</t>
        </is>
      </c>
      <c r="B75">
        <v>6</v>
      </c>
      <c r="C75" t="inlineStr">
        <is>
          <t>@杨春玉</t>
        </is>
      </c>
      <c r="D75">
        <v>1</v>
      </c>
      <c r="E75"/>
      <c r="F75" t="inlineStr">
        <is>
          <t>@陈佳杰</t>
        </is>
      </c>
      <c r="G75">
        <v>1</v>
      </c>
      <c r="H75"/>
      <c r="I75">
        <v>12</v>
      </c>
      <c r="J75" t="inlineStr">
        <is>
          <t>Verify that the correct number of option buttons are displayed for each decision point</t>
        </is>
      </c>
      <c r="K75" t="inlineStr">
        <is>
          <t>验证每个决策点展示的选项按钮数量正确</t>
        </is>
      </c>
      <c r="L75" s="2" t="str">
        <f>=HYPERLINK("http://pre.mgx.dev/chat/a7fa05bb48114f5abbe9b1e4e7542a80", "http://pre.mgx.dev/chat/a7fa05bb48114f5abbe9b1e4e7542a80")</f>
        <v>http://pre.mgx.dev/chat/a7fa05bb48114f5abbe9b1e4e7542a80</v>
      </c>
      <c r="M75" s="2" t="str">
        <f>=HYPERLINK("", "https://45775-a7fa05bb48114f5abbe9b1e4e7542a80-3-latest.app.beta.mgx.dev")</f>
        <v>https://45775-a7fa05bb48114f5abbe9b1e4e7542a80-3-latest.app.beta.mgx.dev</v>
      </c>
      <c r="N75" s="2" t="str">
        <f>=HYPERLINK("mailto:eval_65@auto.com", "eval_65@auto.com")</f>
        <v>eval_65@auto.com</v>
      </c>
      <c r="O75" t="inlineStr">
        <is>
          <t>a7fa05bb48114f5abbe9b1e4e7542a80</t>
        </is>
      </c>
    </row>
    <row r="76" ht="25.5" customHeight="1">
      <c r="A76" t="inlineStr">
        <is>
          <t>Choice Story</t>
        </is>
      </c>
      <c r="B76">
        <v>6</v>
      </c>
      <c r="C76" t="inlineStr">
        <is>
          <t>@杨春玉</t>
        </is>
      </c>
      <c r="D76">
        <v>1</v>
      </c>
      <c r="E76"/>
      <c r="F76" t="inlineStr">
        <is>
          <t>@陈佳杰</t>
        </is>
      </c>
      <c r="G76">
        <v>1</v>
      </c>
      <c r="H76"/>
      <c r="I76">
        <v>13</v>
      </c>
      <c r="J76" t="inlineStr">
        <is>
          <t>Verify that the progress bar accurately reflects the player's position in the game</t>
        </is>
      </c>
      <c r="K76" t="inlineStr">
        <is>
          <t>验证进度条准确反映玩家在游戏中的进度</t>
        </is>
      </c>
      <c r="L76" s="2" t="str">
        <f>=HYPERLINK("http://pre.mgx.dev/chat/a7fa05bb48114f5abbe9b1e4e7542a80", "http://pre.mgx.dev/chat/a7fa05bb48114f5abbe9b1e4e7542a80")</f>
        <v>http://pre.mgx.dev/chat/a7fa05bb48114f5abbe9b1e4e7542a80</v>
      </c>
      <c r="M76" s="2" t="str">
        <f>=HYPERLINK("", "https://45775-a7fa05bb48114f5abbe9b1e4e7542a80-3-latest.app.beta.mgx.dev")</f>
        <v>https://45775-a7fa05bb48114f5abbe9b1e4e7542a80-3-latest.app.beta.mgx.dev</v>
      </c>
      <c r="N76" s="2" t="str">
        <f>=HYPERLINK("mailto:eval_65@auto.com", "eval_65@auto.com")</f>
        <v>eval_65@auto.com</v>
      </c>
      <c r="O76" t="inlineStr">
        <is>
          <t>a7fa05bb48114f5abbe9b1e4e7542a80</t>
        </is>
      </c>
    </row>
    <row r="77" ht="25.5" customHeight="1">
      <c r="A77" t="inlineStr">
        <is>
          <t>Choice Story</t>
        </is>
      </c>
      <c r="B77">
        <v>6</v>
      </c>
      <c r="C77" t="inlineStr">
        <is>
          <t>@杨春玉</t>
        </is>
      </c>
      <c r="D77">
        <v>1</v>
      </c>
      <c r="E77"/>
      <c r="F77" t="inlineStr">
        <is>
          <t>@陈佳杰</t>
        </is>
      </c>
      <c r="G77">
        <v>1</v>
      </c>
      <c r="H77"/>
      <c r="I77">
        <v>14</v>
      </c>
      <c r="J77" t="inlineStr">
        <is>
          <t>Verify that the restart button is present on the screen</t>
        </is>
      </c>
      <c r="K77" t="inlineStr">
        <is>
          <t>验证重新开始按钮在屏幕上可见</t>
        </is>
      </c>
      <c r="L77" s="2" t="str">
        <f>=HYPERLINK("http://pre.mgx.dev/chat/a7fa05bb48114f5abbe9b1e4e7542a80", "http://pre.mgx.dev/chat/a7fa05bb48114f5abbe9b1e4e7542a80")</f>
        <v>http://pre.mgx.dev/chat/a7fa05bb48114f5abbe9b1e4e7542a80</v>
      </c>
      <c r="M77" s="2" t="str">
        <f>=HYPERLINK("", "https://45775-a7fa05bb48114f5abbe9b1e4e7542a80-3-latest.app.beta.mgx.dev")</f>
        <v>https://45775-a7fa05bb48114f5abbe9b1e4e7542a80-3-latest.app.beta.mgx.dev</v>
      </c>
      <c r="N77" s="2" t="str">
        <f>=HYPERLINK("mailto:eval_65@auto.com", "eval_65@auto.com")</f>
        <v>eval_65@auto.com</v>
      </c>
      <c r="O77" t="inlineStr">
        <is>
          <t>a7fa05bb48114f5abbe9b1e4e7542a80</t>
        </is>
      </c>
    </row>
    <row r="78" ht="25.5" customHeight="1">
      <c r="A78" t="inlineStr">
        <is>
          <t>Choice Story</t>
        </is>
      </c>
      <c r="B78">
        <v>6</v>
      </c>
      <c r="C78" t="inlineStr">
        <is>
          <t>@杨春玉</t>
        </is>
      </c>
      <c r="D78">
        <v>1</v>
      </c>
      <c r="E78"/>
      <c r="F78" t="inlineStr">
        <is>
          <t>@陈佳杰</t>
        </is>
      </c>
      <c r="G78">
        <v>1</v>
      </c>
      <c r="H78"/>
      <c r="I78">
        <v>15</v>
      </c>
      <c r="J78" t="inlineStr">
        <is>
          <t>Verify that the story text content is displayed correctly</t>
        </is>
      </c>
      <c r="K78" t="inlineStr">
        <is>
          <t>验证剧情文本内容正确展示</t>
        </is>
      </c>
      <c r="L78" s="2" t="str">
        <f>=HYPERLINK("http://pre.mgx.dev/chat/a7fa05bb48114f5abbe9b1e4e7542a80", "http://pre.mgx.dev/chat/a7fa05bb48114f5abbe9b1e4e7542a80")</f>
        <v>http://pre.mgx.dev/chat/a7fa05bb48114f5abbe9b1e4e7542a80</v>
      </c>
      <c r="M78" s="2" t="str">
        <f>=HYPERLINK("", "https://45775-a7fa05bb48114f5abbe9b1e4e7542a80-3-latest.app.beta.mgx.dev")</f>
        <v>https://45775-a7fa05bb48114f5abbe9b1e4e7542a80-3-latest.app.beta.mgx.dev</v>
      </c>
      <c r="N78" s="2" t="str">
        <f>=HYPERLINK("mailto:eval_65@auto.com", "eval_65@auto.com")</f>
        <v>eval_65@auto.com</v>
      </c>
      <c r="O78" t="inlineStr">
        <is>
          <t>a7fa05bb48114f5abbe9b1e4e7542a80</t>
        </is>
      </c>
    </row>
    <row r="79" ht="25.5" customHeight="1">
      <c r="A79" t="inlineStr">
        <is>
          <t>Code Complexity Analyzer</t>
        </is>
      </c>
      <c r="B79">
        <v>7</v>
      </c>
      <c r="C79" t="inlineStr">
        <is>
          <t>@杨春玉</t>
        </is>
      </c>
      <c r="D79">
        <v>1</v>
      </c>
      <c r="E79"/>
      <c r="F79" t="inlineStr">
        <is>
          <t>@陈佳杰</t>
        </is>
      </c>
      <c r="G79">
        <v>1</v>
      </c>
      <c r="H79"/>
      <c r="I79">
        <v>1</v>
      </c>
      <c r="J79" t="inlineStr">
        <is>
          <t>Check cyclomatic complexity calculation for a simple function</t>
        </is>
      </c>
      <c r="K79" t="inlineStr">
        <is>
          <t>检查简单函数的圈复杂度计算结果</t>
        </is>
      </c>
      <c r="L79" s="2" t="str">
        <f>=HYPERLINK("http://pre.mgx.dev/chat/12e37caa832e44b0af56fe0faaf9d19c", "http://pre.mgx.dev/chat/12e37caa832e44b0af56fe0faaf9d19c")</f>
        <v>http://pre.mgx.dev/chat/12e37caa832e44b0af56fe0faaf9d19c</v>
      </c>
      <c r="M79" s="2" t="str">
        <f>=HYPERLINK("https://45552-12e37caa832e44b0af56fe0faaf9d19c-3-latest.app.pre.atoms.dev/", "https://45552-12e37caa832e44b0af56fe0faaf9d19c-3-latest.app.pre.atoms.dev")</f>
        <v>https://45552-12e37caa832e44b0af56fe0faaf9d19c-3-latest.app.pre.atoms.dev</v>
      </c>
      <c r="N79" s="2" t="str">
        <f>=HYPERLINK("mailto:sea_test21@qq.com", "sea_test21@qq.com")</f>
        <v>sea_test21@qq.com</v>
      </c>
      <c r="O79" t="inlineStr">
        <is>
          <t>12e37caa832e44b0af56fe0faaf9d19c</t>
        </is>
      </c>
    </row>
    <row r="80" ht="25.5" customHeight="1">
      <c r="A80" t="inlineStr">
        <is>
          <t>Code Complexity Analyzer</t>
        </is>
      </c>
      <c r="B80">
        <v>7</v>
      </c>
      <c r="C80" t="inlineStr">
        <is>
          <t>@杨春玉</t>
        </is>
      </c>
      <c r="D80">
        <v>1</v>
      </c>
      <c r="E80"/>
      <c r="F80" t="inlineStr">
        <is>
          <t>@陈佳杰</t>
        </is>
      </c>
      <c r="G80">
        <v>1</v>
      </c>
      <c r="H80"/>
      <c r="I80">
        <v>2</v>
      </c>
      <c r="J80" t="inlineStr">
        <is>
          <t>Test highlighting of functions with complexity &gt; 10</t>
        </is>
      </c>
      <c r="K80" t="inlineStr">
        <is>
          <t>测试高亮圈复杂度大于10的函数</t>
        </is>
      </c>
      <c r="L80" s="2" t="str">
        <f>=HYPERLINK("http://pre.mgx.dev/chat/12e37caa832e44b0af56fe0faaf9d19c", "http://pre.mgx.dev/chat/12e37caa832e44b0af56fe0faaf9d19c")</f>
        <v>http://pre.mgx.dev/chat/12e37caa832e44b0af56fe0faaf9d19c</v>
      </c>
      <c r="M80" s="2" t="str">
        <f>=HYPERLINK("https://45552-12e37caa832e44b0af56fe0faaf9d19c-3-latest.app.pre.atoms.dev/", "https://45552-12e37caa832e44b0af56fe0faaf9d19c-3-latest.app.pre.atoms.dev")</f>
        <v>https://45552-12e37caa832e44b0af56fe0faaf9d19c-3-latest.app.pre.atoms.dev</v>
      </c>
      <c r="N80" s="2" t="str">
        <f>=HYPERLINK("mailto:sea_test21@qq.com", "sea_test21@qq.com")</f>
        <v>sea_test21@qq.com</v>
      </c>
      <c r="O80" t="inlineStr">
        <is>
          <t>12e37caa832e44b0af56fe0faaf9d19c</t>
        </is>
      </c>
    </row>
    <row r="81" ht="25.5" customHeight="1">
      <c r="A81" t="inlineStr">
        <is>
          <t>Code Complexity Analyzer</t>
        </is>
      </c>
      <c r="B81">
        <v>7</v>
      </c>
      <c r="C81" t="inlineStr">
        <is>
          <t>@杨春玉</t>
        </is>
      </c>
      <c r="D81">
        <v>1</v>
      </c>
      <c r="E81"/>
      <c r="F81" t="inlineStr">
        <is>
          <t>@陈佳杰</t>
        </is>
      </c>
      <c r="G81">
        <v>1</v>
      </c>
      <c r="H81"/>
      <c r="I81">
        <v>3</v>
      </c>
      <c r="J81" t="inlineStr">
        <is>
          <t>Test nesting depth analysis for code with 2 levels of nesting</t>
        </is>
      </c>
      <c r="K81" t="inlineStr">
        <is>
          <t>测试对2层嵌套代码的嵌套深度分析功能</t>
        </is>
      </c>
      <c r="L81" s="2" t="str">
        <f>=HYPERLINK("http://pre.mgx.dev/chat/12e37caa832e44b0af56fe0faaf9d19c", "http://pre.mgx.dev/chat/12e37caa832e44b0af56fe0faaf9d19c")</f>
        <v>http://pre.mgx.dev/chat/12e37caa832e44b0af56fe0faaf9d19c</v>
      </c>
      <c r="M81" s="2" t="str">
        <f>=HYPERLINK("https://45552-12e37caa832e44b0af56fe0faaf9d19c-3-latest.app.pre.atoms.dev/", "https://45552-12e37caa832e44b0af56fe0faaf9d19c-3-latest.app.pre.atoms.dev")</f>
        <v>https://45552-12e37caa832e44b0af56fe0faaf9d19c-3-latest.app.pre.atoms.dev</v>
      </c>
      <c r="N81" s="2" t="str">
        <f>=HYPERLINK("mailto:sea_test21@qq.com", "sea_test21@qq.com")</f>
        <v>sea_test21@qq.com</v>
      </c>
      <c r="O81" t="inlineStr">
        <is>
          <t>12e37caa832e44b0af56fe0faaf9d19c</t>
        </is>
      </c>
    </row>
    <row r="82" ht="25.5" customHeight="1">
      <c r="A82" t="inlineStr">
        <is>
          <t>Code Complexity Analyzer</t>
        </is>
      </c>
      <c r="B82">
        <v>7</v>
      </c>
      <c r="C82" t="inlineStr">
        <is>
          <t>@杨春玉</t>
        </is>
      </c>
      <c r="D82">
        <v>1</v>
      </c>
      <c r="E82"/>
      <c r="F82" t="inlineStr">
        <is>
          <t>@陈佳杰</t>
        </is>
      </c>
      <c r="G82">
        <v>1</v>
      </c>
      <c r="H82"/>
      <c r="I82">
        <v>4</v>
      </c>
      <c r="J82" t="inlineStr">
        <is>
          <t>Test pasting code snippet into input area</t>
        </is>
      </c>
      <c r="K82" t="inlineStr">
        <is>
          <t>测试将代码片段粘贴至输入框的操作</t>
        </is>
      </c>
      <c r="L82" s="2" t="str">
        <f>=HYPERLINK("http://pre.mgx.dev/chat/12e37caa832e44b0af56fe0faaf9d19c", "http://pre.mgx.dev/chat/12e37caa832e44b0af56fe0faaf9d19c")</f>
        <v>http://pre.mgx.dev/chat/12e37caa832e44b0af56fe0faaf9d19c</v>
      </c>
      <c r="M82" s="2" t="str">
        <f>=HYPERLINK("https://45552-12e37caa832e44b0af56fe0faaf9d19c-3-latest.app.pre.atoms.dev/", "https://45552-12e37caa832e44b0af56fe0faaf9d19c-3-latest.app.pre.atoms.dev")</f>
        <v>https://45552-12e37caa832e44b0af56fe0faaf9d19c-3-latest.app.pre.atoms.dev</v>
      </c>
      <c r="N82" s="2" t="str">
        <f>=HYPERLINK("mailto:sea_test21@qq.com", "sea_test21@qq.com")</f>
        <v>sea_test21@qq.com</v>
      </c>
      <c r="O82" t="inlineStr">
        <is>
          <t>12e37caa832e44b0af56fe0faaf9d19c</t>
        </is>
      </c>
    </row>
    <row r="83" ht="25.5" customHeight="1">
      <c r="A83" t="inlineStr">
        <is>
          <t>Code Complexity Analyzer</t>
        </is>
      </c>
      <c r="B83">
        <v>7</v>
      </c>
      <c r="C83" t="inlineStr">
        <is>
          <t>@杨春玉</t>
        </is>
      </c>
      <c r="D83">
        <v>1</v>
      </c>
      <c r="E83"/>
      <c r="F83" t="inlineStr">
        <is>
          <t>@陈佳杰</t>
        </is>
      </c>
      <c r="G83">
        <v>1</v>
      </c>
      <c r="H83"/>
      <c r="I83">
        <v>5</v>
      </c>
      <c r="J83" t="inlineStr">
        <is>
          <t>Test uploading code file</t>
        </is>
      </c>
      <c r="K83" t="inlineStr">
        <is>
          <t>测试上传代码文件的功能</t>
        </is>
      </c>
      <c r="L83" s="2" t="str">
        <f>=HYPERLINK("http://pre.mgx.dev/chat/12e37caa832e44b0af56fe0faaf9d19c", "http://pre.mgx.dev/chat/12e37caa832e44b0af56fe0faaf9d19c")</f>
        <v>http://pre.mgx.dev/chat/12e37caa832e44b0af56fe0faaf9d19c</v>
      </c>
      <c r="M83" s="2" t="str">
        <f>=HYPERLINK("https://45552-12e37caa832e44b0af56fe0faaf9d19c-3-latest.app.pre.atoms.dev/", "https://45552-12e37caa832e44b0af56fe0faaf9d19c-3-latest.app.pre.atoms.dev")</f>
        <v>https://45552-12e37caa832e44b0af56fe0faaf9d19c-3-latest.app.pre.atoms.dev</v>
      </c>
      <c r="N83" s="2" t="str">
        <f>=HYPERLINK("mailto:sea_test21@qq.com", "sea_test21@qq.com")</f>
        <v>sea_test21@qq.com</v>
      </c>
      <c r="O83" t="inlineStr">
        <is>
          <t>12e37caa832e44b0af56fe0faaf9d19c</t>
        </is>
      </c>
    </row>
    <row r="84" ht="25.5" customHeight="1">
      <c r="A84" t="inlineStr">
        <is>
          <t>Code Complexity Analyzer</t>
        </is>
      </c>
      <c r="B84">
        <v>7</v>
      </c>
      <c r="C84" t="inlineStr">
        <is>
          <t>@杨春玉</t>
        </is>
      </c>
      <c r="D84">
        <v>1</v>
      </c>
      <c r="E84"/>
      <c r="F84" t="inlineStr">
        <is>
          <t>@陈佳杰</t>
        </is>
      </c>
      <c r="G84">
        <v>1</v>
      </c>
      <c r="H84"/>
      <c r="I84">
        <v>6</v>
      </c>
      <c r="J84" t="inlineStr">
        <is>
          <t>Verify correct complexity metrics display for each function/method</t>
        </is>
      </c>
      <c r="K84" t="inlineStr">
        <is>
          <t>验证每个函数/方法的复杂度指标展示正确</t>
        </is>
      </c>
      <c r="L84" s="2" t="str">
        <f>=HYPERLINK("http://pre.mgx.dev/chat/12e37caa832e44b0af56fe0faaf9d19c", "http://pre.mgx.dev/chat/12e37caa832e44b0af56fe0faaf9d19c")</f>
        <v>http://pre.mgx.dev/chat/12e37caa832e44b0af56fe0faaf9d19c</v>
      </c>
      <c r="M84" s="2" t="str">
        <f>=HYPERLINK("https://45552-12e37caa832e44b0af56fe0faaf9d19c-3-latest.app.pre.atoms.dev/", "https://45552-12e37caa832e44b0af56fe0faaf9d19c-3-latest.app.pre.atoms.dev")</f>
        <v>https://45552-12e37caa832e44b0af56fe0faaf9d19c-3-latest.app.pre.atoms.dev</v>
      </c>
      <c r="N84" s="2" t="str">
        <f>=HYPERLINK("mailto:sea_test21@qq.com", "sea_test21@qq.com")</f>
        <v>sea_test21@qq.com</v>
      </c>
      <c r="O84" t="inlineStr">
        <is>
          <t>12e37caa832e44b0af56fe0faaf9d19c</t>
        </is>
      </c>
    </row>
    <row r="85" ht="25.5" customHeight="1">
      <c r="A85" t="inlineStr">
        <is>
          <t>Code Complexity Analyzer</t>
        </is>
      </c>
      <c r="B85">
        <v>7</v>
      </c>
      <c r="C85" t="inlineStr">
        <is>
          <t>@杨春玉</t>
        </is>
      </c>
      <c r="D85">
        <v>1</v>
      </c>
      <c r="E85"/>
      <c r="F85" t="inlineStr">
        <is>
          <t>@陈佳杰</t>
        </is>
      </c>
      <c r="G85">
        <v>1</v>
      </c>
      <c r="H85"/>
      <c r="I85">
        <v>7</v>
      </c>
      <c r="J85" t="inlineStr">
        <is>
          <t>Verify cyclomatic complexity calculation for a complex function</t>
        </is>
      </c>
      <c r="K85" t="inlineStr">
        <is>
          <t>检查复杂函数的圈复杂度计算结果</t>
        </is>
      </c>
      <c r="L85" s="2" t="str">
        <f>=HYPERLINK("http://pre.mgx.dev/chat/12e37caa832e44b0af56fe0faaf9d19c", "http://pre.mgx.dev/chat/12e37caa832e44b0af56fe0faaf9d19c")</f>
        <v>http://pre.mgx.dev/chat/12e37caa832e44b0af56fe0faaf9d19c</v>
      </c>
      <c r="M85" s="2" t="str">
        <f>=HYPERLINK("https://45552-12e37caa832e44b0af56fe0faaf9d19c-3-latest.app.pre.atoms.dev/", "https://45552-12e37caa832e44b0af56fe0faaf9d19c-3-latest.app.pre.atoms.dev")</f>
        <v>https://45552-12e37caa832e44b0af56fe0faaf9d19c-3-latest.app.pre.atoms.dev</v>
      </c>
      <c r="N85" s="2" t="str">
        <f>=HYPERLINK("mailto:sea_test21@qq.com", "sea_test21@qq.com")</f>
        <v>sea_test21@qq.com</v>
      </c>
      <c r="O85" t="inlineStr">
        <is>
          <t>12e37caa832e44b0af56fe0faaf9d19c</t>
        </is>
      </c>
    </row>
    <row r="86" ht="25.5" customHeight="1">
      <c r="A86" t="inlineStr">
        <is>
          <t>Code Complexity Analyzer</t>
        </is>
      </c>
      <c r="B86">
        <v>7</v>
      </c>
      <c r="C86" t="inlineStr">
        <is>
          <t>@杨春玉</t>
        </is>
      </c>
      <c r="D86">
        <v>1</v>
      </c>
      <c r="E86"/>
      <c r="F86" t="inlineStr">
        <is>
          <t>@陈佳杰</t>
        </is>
      </c>
      <c r="G86">
        <v>1</v>
      </c>
      <c r="H86"/>
      <c r="I86">
        <v>8</v>
      </c>
      <c r="J86" t="inlineStr">
        <is>
          <t>Verify syntax highlighting for JavaScript code</t>
        </is>
      </c>
      <c r="K86" t="inlineStr">
        <is>
          <t>验证JavaScript代码的语法高亮显示</t>
        </is>
      </c>
      <c r="L86" s="2" t="str">
        <f>=HYPERLINK("http://pre.mgx.dev/chat/12e37caa832e44b0af56fe0faaf9d19c", "http://pre.mgx.dev/chat/12e37caa832e44b0af56fe0faaf9d19c")</f>
        <v>http://pre.mgx.dev/chat/12e37caa832e44b0af56fe0faaf9d19c</v>
      </c>
      <c r="M86" s="2" t="str">
        <f>=HYPERLINK("https://45552-12e37caa832e44b0af56fe0faaf9d19c-3-latest.app.pre.atoms.dev/", "https://45552-12e37caa832e44b0af56fe0faaf9d19c-3-latest.app.pre.atoms.dev")</f>
        <v>https://45552-12e37caa832e44b0af56fe0faaf9d19c-3-latest.app.pre.atoms.dev</v>
      </c>
      <c r="N86" s="2" t="str">
        <f>=HYPERLINK("mailto:sea_test21@qq.com", "sea_test21@qq.com")</f>
        <v>sea_test21@qq.com</v>
      </c>
      <c r="O86" t="inlineStr">
        <is>
          <t>12e37caa832e44b0af56fe0faaf9d19c</t>
        </is>
      </c>
    </row>
    <row r="87" ht="25.5" customHeight="1">
      <c r="A87" t="inlineStr">
        <is>
          <t>Code Display</t>
        </is>
      </c>
      <c r="B87">
        <v>8</v>
      </c>
      <c r="C87" t="inlineStr">
        <is>
          <t>@杨春玉</t>
        </is>
      </c>
      <c r="D87">
        <v>1</v>
      </c>
      <c r="E87"/>
      <c r="F87" t="inlineStr">
        <is>
          <t>@陈佳杰</t>
        </is>
      </c>
      <c r="G87">
        <v>1</v>
      </c>
      <c r="H87"/>
      <c r="I87">
        <v>1</v>
      </c>
      <c r="J87" t="inlineStr">
        <is>
          <t>Check if description cards mention problems solved by the project</t>
        </is>
      </c>
      <c r="K87" t="inlineStr">
        <is>
          <t>检查描述卡片是否提及项目解决的问题</t>
        </is>
      </c>
      <c r="L87" s="2" t="str">
        <f>=HYPERLINK("http://pre.mgx.dev/chat/b5f4bd9e949a43e68cabac26aa7e5288", "http://pre.mgx.dev/chat/b5f4bd9e949a43e68cabac26aa7e5288")</f>
        <v>http://pre.mgx.dev/chat/b5f4bd9e949a43e68cabac26aa7e5288</v>
      </c>
      <c r="M87" s="2" t="str">
        <f>=HYPERLINK("", "https://45780-b5f4bd9e949a43e68cabac26aa7e5288-3-latest.app.beta.mgx.dev")</f>
        <v>https://45780-b5f4bd9e949a43e68cabac26aa7e5288-3-latest.app.beta.mgx.dev</v>
      </c>
      <c r="N87" s="2" t="str">
        <f>=HYPERLINK("mailto:eval_70@auto.com", "eval_70@auto.com")</f>
        <v>eval_70@auto.com</v>
      </c>
      <c r="O87" t="inlineStr">
        <is>
          <t>b5f4bd9e949a43e68cabac26aa7e5288</t>
        </is>
      </c>
    </row>
    <row r="88" ht="25.5" customHeight="1">
      <c r="A88" t="inlineStr">
        <is>
          <t>Code Display</t>
        </is>
      </c>
      <c r="B88">
        <v>8</v>
      </c>
      <c r="C88" t="inlineStr">
        <is>
          <t>@杨春玉</t>
        </is>
      </c>
      <c r="D88">
        <v>1</v>
      </c>
      <c r="E88"/>
      <c r="F88" t="inlineStr">
        <is>
          <t>@陈佳杰</t>
        </is>
      </c>
      <c r="G88">
        <v>1</v>
      </c>
      <c r="H88"/>
      <c r="I88">
        <v>2</v>
      </c>
      <c r="J88" t="inlineStr">
        <is>
          <t>Check if each project in the list includes a project name</t>
        </is>
      </c>
      <c r="K88" t="inlineStr">
        <is>
          <t>检查列表中每个项目均包含项目名称</t>
        </is>
      </c>
      <c r="L88" s="2" t="str">
        <f>=HYPERLINK("http://pre.mgx.dev/chat/b5f4bd9e949a43e68cabac26aa7e5288", "http://pre.mgx.dev/chat/b5f4bd9e949a43e68cabac26aa7e5288")</f>
        <v>http://pre.mgx.dev/chat/b5f4bd9e949a43e68cabac26aa7e5288</v>
      </c>
      <c r="M88" s="2" t="str">
        <f>=HYPERLINK("", "https://45780-b5f4bd9e949a43e68cabac26aa7e5288-3-latest.app.beta.mgx.dev")</f>
        <v>https://45780-b5f4bd9e949a43e68cabac26aa7e5288-3-latest.app.beta.mgx.dev</v>
      </c>
      <c r="N88" s="2" t="str">
        <f>=HYPERLINK("mailto:eval_70@auto.com", "eval_70@auto.com")</f>
        <v>eval_70@auto.com</v>
      </c>
      <c r="O88" t="inlineStr">
        <is>
          <t>b5f4bd9e949a43e68cabac26aa7e5288</t>
        </is>
      </c>
    </row>
    <row r="89" ht="25.5" customHeight="1">
      <c r="A89" t="inlineStr">
        <is>
          <t>Code Display</t>
        </is>
      </c>
      <c r="B89">
        <v>8</v>
      </c>
      <c r="C89" t="inlineStr">
        <is>
          <t>@杨春玉</t>
        </is>
      </c>
      <c r="D89">
        <v>1</v>
      </c>
      <c r="E89"/>
      <c r="F89" t="inlineStr">
        <is>
          <t>@陈佳杰</t>
        </is>
      </c>
      <c r="G89">
        <v>1</v>
      </c>
      <c r="H89"/>
      <c r="I89">
        <v>3</v>
      </c>
      <c r="J89" t="inlineStr">
        <is>
          <t>Confirm that the tech stack is displayed for each project</t>
        </is>
      </c>
      <c r="K89" t="inlineStr">
        <is>
          <t>确认每个项目展示技术栈信息</t>
        </is>
      </c>
      <c r="L89" s="2" t="str">
        <f>=HYPERLINK("http://pre.mgx.dev/chat/b5f4bd9e949a43e68cabac26aa7e5288", "http://pre.mgx.dev/chat/b5f4bd9e949a43e68cabac26aa7e5288")</f>
        <v>http://pre.mgx.dev/chat/b5f4bd9e949a43e68cabac26aa7e5288</v>
      </c>
      <c r="M89" s="2" t="str">
        <f>=HYPERLINK("", "https://45780-b5f4bd9e949a43e68cabac26aa7e5288-3-latest.app.beta.mgx.dev")</f>
        <v>https://45780-b5f4bd9e949a43e68cabac26aa7e5288-3-latest.app.beta.mgx.dev</v>
      </c>
      <c r="N89" s="2" t="str">
        <f>=HYPERLINK("mailto:eval_70@auto.com", "eval_70@auto.com")</f>
        <v>eval_70@auto.com</v>
      </c>
      <c r="O89" t="inlineStr">
        <is>
          <t>b5f4bd9e949a43e68cabac26aa7e5288</t>
        </is>
      </c>
    </row>
    <row r="90" ht="25.5" customHeight="1">
      <c r="A90" t="inlineStr">
        <is>
          <t>Code Display</t>
        </is>
      </c>
      <c r="B90">
        <v>8</v>
      </c>
      <c r="C90" t="inlineStr">
        <is>
          <t>@杨春玉</t>
        </is>
      </c>
      <c r="D90">
        <v>1</v>
      </c>
      <c r="E90"/>
      <c r="F90" t="inlineStr">
        <is>
          <t>@陈佳杰</t>
        </is>
      </c>
      <c r="G90">
        <v>1</v>
      </c>
      <c r="H90"/>
      <c r="I90">
        <v>4</v>
      </c>
      <c r="J90" t="inlineStr">
        <is>
          <t>Confirm the presence of detailed description cards for each project</t>
        </is>
      </c>
      <c r="K90" t="inlineStr">
        <is>
          <t>确认每个项目均配有详细描述卡片</t>
        </is>
      </c>
      <c r="L90" s="2" t="str">
        <f>=HYPERLINK("http://pre.mgx.dev/chat/b5f4bd9e949a43e68cabac26aa7e5288", "http://pre.mgx.dev/chat/b5f4bd9e949a43e68cabac26aa7e5288")</f>
        <v>http://pre.mgx.dev/chat/b5f4bd9e949a43e68cabac26aa7e5288</v>
      </c>
      <c r="M90" s="2" t="str">
        <f>=HYPERLINK("", "https://45780-b5f4bd9e949a43e68cabac26aa7e5288-3-latest.app.beta.mgx.dev")</f>
        <v>https://45780-b5f4bd9e949a43e68cabac26aa7e5288-3-latest.app.beta.mgx.dev</v>
      </c>
      <c r="N90" s="2" t="str">
        <f>=HYPERLINK("mailto:eval_70@auto.com", "eval_70@auto.com")</f>
        <v>eval_70@auto.com</v>
      </c>
      <c r="O90" t="inlineStr">
        <is>
          <t>b5f4bd9e949a43e68cabac26aa7e5288</t>
        </is>
      </c>
    </row>
    <row r="91" ht="25.5" customHeight="1">
      <c r="A91" t="inlineStr">
        <is>
          <t>Code Display</t>
        </is>
      </c>
      <c r="B91">
        <v>8</v>
      </c>
      <c r="C91" t="inlineStr">
        <is>
          <t>@杨春玉</t>
        </is>
      </c>
      <c r="D91">
        <v>1</v>
      </c>
      <c r="E91"/>
      <c r="F91" t="inlineStr">
        <is>
          <t>@陈佳杰</t>
        </is>
      </c>
      <c r="G91">
        <v>1</v>
      </c>
      <c r="H91"/>
      <c r="I91">
        <v>5</v>
      </c>
      <c r="J91" t="inlineStr">
        <is>
          <t>Ensure each project in the list has a description</t>
        </is>
      </c>
      <c r="K91" t="inlineStr">
        <is>
          <t>确保列表中每个项目均有描述内容</t>
        </is>
      </c>
      <c r="L91" s="2" t="str">
        <f>=HYPERLINK("http://pre.mgx.dev/chat/b5f4bd9e949a43e68cabac26aa7e5288", "http://pre.mgx.dev/chat/b5f4bd9e949a43e68cabac26aa7e5288")</f>
        <v>http://pre.mgx.dev/chat/b5f4bd9e949a43e68cabac26aa7e5288</v>
      </c>
      <c r="M91" s="2" t="str">
        <f>=HYPERLINK("", "https://45780-b5f4bd9e949a43e68cabac26aa7e5288-3-latest.app.beta.mgx.dev")</f>
        <v>https://45780-b5f4bd9e949a43e68cabac26aa7e5288-3-latest.app.beta.mgx.dev</v>
      </c>
      <c r="N91" s="2" t="str">
        <f>=HYPERLINK("mailto:eval_70@auto.com", "eval_70@auto.com")</f>
        <v>eval_70@auto.com</v>
      </c>
      <c r="O91" t="inlineStr">
        <is>
          <t>b5f4bd9e949a43e68cabac26aa7e5288</t>
        </is>
      </c>
    </row>
    <row r="92" ht="25.5" customHeight="1">
      <c r="A92" t="inlineStr">
        <is>
          <t>Code Display</t>
        </is>
      </c>
      <c r="B92">
        <v>8</v>
      </c>
      <c r="C92" t="inlineStr">
        <is>
          <t>@杨春玉</t>
        </is>
      </c>
      <c r="D92">
        <v>1</v>
      </c>
      <c r="E92"/>
      <c r="F92" t="inlineStr">
        <is>
          <t>@陈佳杰</t>
        </is>
      </c>
      <c r="G92">
        <v>1</v>
      </c>
      <c r="H92"/>
      <c r="I92">
        <v>6</v>
      </c>
      <c r="J92" t="inlineStr">
        <is>
          <t>Test if repository links correctly redirect to GitHub or other code repositories</t>
        </is>
      </c>
      <c r="K92" t="inlineStr">
        <is>
          <t>测试仓库链接是否可正确跳转至GitHub或其他代码仓库</t>
        </is>
      </c>
      <c r="L92" s="2" t="str">
        <f>=HYPERLINK("http://pre.mgx.dev/chat/b5f4bd9e949a43e68cabac26aa7e5288", "http://pre.mgx.dev/chat/b5f4bd9e949a43e68cabac26aa7e5288")</f>
        <v>http://pre.mgx.dev/chat/b5f4bd9e949a43e68cabac26aa7e5288</v>
      </c>
      <c r="M92" s="2" t="str">
        <f>=HYPERLINK("", "https://45780-b5f4bd9e949a43e68cabac26aa7e5288-3-latest.app.beta.mgx.dev")</f>
        <v>https://45780-b5f4bd9e949a43e68cabac26aa7e5288-3-latest.app.beta.mgx.dev</v>
      </c>
      <c r="N92" s="2" t="str">
        <f>=HYPERLINK("mailto:eval_70@auto.com", "eval_70@auto.com")</f>
        <v>eval_70@auto.com</v>
      </c>
      <c r="O92" t="inlineStr">
        <is>
          <t>b5f4bd9e949a43e68cabac26aa7e5288</t>
        </is>
      </c>
    </row>
    <row r="93" ht="25.5" customHeight="1">
      <c r="A93" t="inlineStr">
        <is>
          <t>Code Display</t>
        </is>
      </c>
      <c r="B93">
        <v>8</v>
      </c>
      <c r="C93" t="inlineStr">
        <is>
          <t>@杨春玉</t>
        </is>
      </c>
      <c r="D93">
        <v>1</v>
      </c>
      <c r="E93"/>
      <c r="F93" t="inlineStr">
        <is>
          <t>@陈佳杰</t>
        </is>
      </c>
      <c r="G93">
        <v>1</v>
      </c>
      <c r="H93"/>
      <c r="I93">
        <v>7</v>
      </c>
      <c r="J93" t="inlineStr">
        <is>
          <t>Test if technology tags accurately represent the technologies used in the project</t>
        </is>
      </c>
      <c r="K93" t="inlineStr">
        <is>
          <t>测试技术标签是否准确体现项目所用技术</t>
        </is>
      </c>
      <c r="L93" s="2" t="str">
        <f>=HYPERLINK("http://pre.mgx.dev/chat/b5f4bd9e949a43e68cabac26aa7e5288", "http://pre.mgx.dev/chat/b5f4bd9e949a43e68cabac26aa7e5288")</f>
        <v>http://pre.mgx.dev/chat/b5f4bd9e949a43e68cabac26aa7e5288</v>
      </c>
      <c r="M93" s="2" t="str">
        <f>=HYPERLINK("", "https://45780-b5f4bd9e949a43e68cabac26aa7e5288-3-latest.app.beta.mgx.dev")</f>
        <v>https://45780-b5f4bd9e949a43e68cabac26aa7e5288-3-latest.app.beta.mgx.dev</v>
      </c>
      <c r="N93" s="2" t="str">
        <f>=HYPERLINK("mailto:eval_70@auto.com", "eval_70@auto.com")</f>
        <v>eval_70@auto.com</v>
      </c>
      <c r="O93" t="inlineStr">
        <is>
          <t>b5f4bd9e949a43e68cabac26aa7e5288</t>
        </is>
      </c>
    </row>
    <row r="94" ht="25.5" customHeight="1">
      <c r="A94" t="inlineStr">
        <is>
          <t>Code Display</t>
        </is>
      </c>
      <c r="B94">
        <v>8</v>
      </c>
      <c r="C94" t="inlineStr">
        <is>
          <t>@杨春玉</t>
        </is>
      </c>
      <c r="D94">
        <v>1</v>
      </c>
      <c r="E94"/>
      <c r="F94" t="inlineStr">
        <is>
          <t>@陈佳杰</t>
        </is>
      </c>
      <c r="G94">
        <v>1</v>
      </c>
      <c r="H94"/>
      <c r="I94">
        <v>8</v>
      </c>
      <c r="J94" t="inlineStr">
        <is>
          <t>Verify that code blocks are present for each project</t>
        </is>
      </c>
      <c r="K94" t="inlineStr">
        <is>
          <t>验证每个项目均配有代码块</t>
        </is>
      </c>
      <c r="L94" s="2" t="str">
        <f>=HYPERLINK("http://pre.mgx.dev/chat/b5f4bd9e949a43e68cabac26aa7e5288", "http://pre.mgx.dev/chat/b5f4bd9e949a43e68cabac26aa7e5288")</f>
        <v>http://pre.mgx.dev/chat/b5f4bd9e949a43e68cabac26aa7e5288</v>
      </c>
      <c r="M94" s="2" t="str">
        <f>=HYPERLINK("", "https://45780-b5f4bd9e949a43e68cabac26aa7e5288-3-latest.app.beta.mgx.dev")</f>
        <v>https://45780-b5f4bd9e949a43e68cabac26aa7e5288-3-latest.app.beta.mgx.dev</v>
      </c>
      <c r="N94" s="2" t="str">
        <f>=HYPERLINK("mailto:eval_70@auto.com", "eval_70@auto.com")</f>
        <v>eval_70@auto.com</v>
      </c>
      <c r="O94" t="inlineStr">
        <is>
          <t>b5f4bd9e949a43e68cabac26aa7e5288</t>
        </is>
      </c>
    </row>
    <row r="95" ht="25.5" customHeight="1">
      <c r="A95" t="inlineStr">
        <is>
          <t>Code Display</t>
        </is>
      </c>
      <c r="B95">
        <v>8</v>
      </c>
      <c r="C95" t="inlineStr">
        <is>
          <t>@杨春玉</t>
        </is>
      </c>
      <c r="D95">
        <v>1</v>
      </c>
      <c r="E95"/>
      <c r="F95" t="inlineStr">
        <is>
          <t>@陈佳杰</t>
        </is>
      </c>
      <c r="G95">
        <v>1</v>
      </c>
      <c r="H95"/>
      <c r="I95">
        <v>9</v>
      </c>
      <c r="J95" t="inlineStr">
        <is>
          <t>Verify that description cards include technical background information</t>
        </is>
      </c>
      <c r="K95" t="inlineStr">
        <is>
          <t>验证描述卡片包含技术背景信息</t>
        </is>
      </c>
      <c r="L95" s="2" t="str">
        <f>=HYPERLINK("http://pre.mgx.dev/chat/b5f4bd9e949a43e68cabac26aa7e5288", "http://pre.mgx.dev/chat/b5f4bd9e949a43e68cabac26aa7e5288")</f>
        <v>http://pre.mgx.dev/chat/b5f4bd9e949a43e68cabac26aa7e5288</v>
      </c>
      <c r="M95" s="2" t="str">
        <f>=HYPERLINK("", "https://45780-b5f4bd9e949a43e68cabac26aa7e5288-3-latest.app.beta.mgx.dev")</f>
        <v>https://45780-b5f4bd9e949a43e68cabac26aa7e5288-3-latest.app.beta.mgx.dev</v>
      </c>
      <c r="N95" s="2" t="str">
        <f>=HYPERLINK("mailto:eval_70@auto.com", "eval_70@auto.com")</f>
        <v>eval_70@auto.com</v>
      </c>
      <c r="O95" t="inlineStr">
        <is>
          <t>b5f4bd9e949a43e68cabac26aa7e5288</t>
        </is>
      </c>
    </row>
    <row r="96" ht="25.5" customHeight="1">
      <c r="A96" t="inlineStr">
        <is>
          <t>Code Display</t>
        </is>
      </c>
      <c r="B96">
        <v>8</v>
      </c>
      <c r="C96" t="inlineStr">
        <is>
          <t>@杨春玉</t>
        </is>
      </c>
      <c r="D96">
        <v>1</v>
      </c>
      <c r="E96"/>
      <c r="F96" t="inlineStr">
        <is>
          <t>@陈佳杰</t>
        </is>
      </c>
      <c r="G96">
        <v>1</v>
      </c>
      <c r="H96"/>
      <c r="I96">
        <v>10</v>
      </c>
      <c r="J96" t="inlineStr">
        <is>
          <t>Verify that each project has associated technology tags</t>
        </is>
      </c>
      <c r="K96" t="inlineStr">
        <is>
          <t>验证每个项目均关联对应的技术标签</t>
        </is>
      </c>
      <c r="L96" s="2" t="str">
        <f>=HYPERLINK("http://pre.mgx.dev/chat/b5f4bd9e949a43e68cabac26aa7e5288", "http://pre.mgx.dev/chat/b5f4bd9e949a43e68cabac26aa7e5288")</f>
        <v>http://pre.mgx.dev/chat/b5f4bd9e949a43e68cabac26aa7e5288</v>
      </c>
      <c r="M96" s="2" t="str">
        <f>=HYPERLINK("", "https://45780-b5f4bd9e949a43e68cabac26aa7e5288-3-latest.app.beta.mgx.dev")</f>
        <v>https://45780-b5f4bd9e949a43e68cabac26aa7e5288-3-latest.app.beta.mgx.dev</v>
      </c>
      <c r="N96" s="2" t="str">
        <f>=HYPERLINK("mailto:eval_70@auto.com", "eval_70@auto.com")</f>
        <v>eval_70@auto.com</v>
      </c>
      <c r="O96" t="inlineStr">
        <is>
          <t>b5f4bd9e949a43e68cabac26aa7e5288</t>
        </is>
      </c>
    </row>
    <row r="97" ht="25.5" customHeight="1">
      <c r="A97" t="inlineStr">
        <is>
          <t>Code Display</t>
        </is>
      </c>
      <c r="B97">
        <v>8</v>
      </c>
      <c r="C97" t="inlineStr">
        <is>
          <t>@杨春玉</t>
        </is>
      </c>
      <c r="D97">
        <v>1</v>
      </c>
      <c r="E97"/>
      <c r="F97" t="inlineStr">
        <is>
          <t>@陈佳杰</t>
        </is>
      </c>
      <c r="G97">
        <v>1</v>
      </c>
      <c r="H97"/>
      <c r="I97">
        <v>11</v>
      </c>
      <c r="J97" t="inlineStr">
        <is>
          <t>Verify that the page displays a list of projects</t>
        </is>
      </c>
      <c r="K97" t="inlineStr">
        <is>
          <t>验证页面展示项目列表</t>
        </is>
      </c>
      <c r="L97" s="2" t="str">
        <f>=HYPERLINK("http://pre.mgx.dev/chat/b5f4bd9e949a43e68cabac26aa7e5288", "http://pre.mgx.dev/chat/b5f4bd9e949a43e68cabac26aa7e5288")</f>
        <v>http://pre.mgx.dev/chat/b5f4bd9e949a43e68cabac26aa7e5288</v>
      </c>
      <c r="M97" s="2" t="str">
        <f>=HYPERLINK("", "https://45780-b5f4bd9e949a43e68cabac26aa7e5288-3-latest.app.beta.mgx.dev")</f>
        <v>https://45780-b5f4bd9e949a43e68cabac26aa7e5288-3-latest.app.beta.mgx.dev</v>
      </c>
      <c r="N97" s="2" t="str">
        <f>=HYPERLINK("mailto:eval_70@auto.com", "eval_70@auto.com")</f>
        <v>eval_70@auto.com</v>
      </c>
      <c r="O97" t="inlineStr">
        <is>
          <t>b5f4bd9e949a43e68cabac26aa7e5288</t>
        </is>
      </c>
    </row>
    <row r="98" ht="25.5" customHeight="1">
      <c r="A98" t="inlineStr">
        <is>
          <t>Code Display</t>
        </is>
      </c>
      <c r="B98">
        <v>8</v>
      </c>
      <c r="C98" t="inlineStr">
        <is>
          <t>@杨春玉</t>
        </is>
      </c>
      <c r="D98">
        <v>1</v>
      </c>
      <c r="E98"/>
      <c r="F98" t="inlineStr">
        <is>
          <t>@陈佳杰</t>
        </is>
      </c>
      <c r="G98">
        <v>1</v>
      </c>
      <c r="H98"/>
      <c r="I98">
        <v>12</v>
      </c>
      <c r="J98" t="inlineStr">
        <is>
          <t>Verify the presence of repository links for each project</t>
        </is>
      </c>
      <c r="K98" t="inlineStr">
        <is>
          <t>验证每个项目均配有仓库链接</t>
        </is>
      </c>
      <c r="L98" s="2" t="str">
        <f>=HYPERLINK("http://pre.mgx.dev/chat/b5f4bd9e949a43e68cabac26aa7e5288", "http://pre.mgx.dev/chat/b5f4bd9e949a43e68cabac26aa7e5288")</f>
        <v>http://pre.mgx.dev/chat/b5f4bd9e949a43e68cabac26aa7e5288</v>
      </c>
      <c r="M98" s="2" t="str">
        <f>=HYPERLINK("", "https://45780-b5f4bd9e949a43e68cabac26aa7e5288-3-latest.app.beta.mgx.dev")</f>
        <v>https://45780-b5f4bd9e949a43e68cabac26aa7e5288-3-latest.app.beta.mgx.dev</v>
      </c>
      <c r="N98" s="2" t="str">
        <f>=HYPERLINK("mailto:eval_70@auto.com", "eval_70@auto.com")</f>
        <v>eval_70@auto.com</v>
      </c>
      <c r="O98" t="inlineStr">
        <is>
          <t>b5f4bd9e949a43e68cabac26aa7e5288</t>
        </is>
      </c>
    </row>
    <row r="99" ht="25.5" customHeight="1">
      <c r="A99" t="inlineStr">
        <is>
          <t>CodeHub Forum</t>
        </is>
      </c>
      <c r="B99">
        <v>9</v>
      </c>
      <c r="C99" t="inlineStr">
        <is>
          <t>@杨春玉</t>
        </is>
      </c>
      <c r="D99">
        <v>1</v>
      </c>
      <c r="E99"/>
      <c r="F99" t="inlineStr">
        <is>
          <t>@陈佳杰</t>
        </is>
      </c>
      <c r="G99">
        <v>1</v>
      </c>
      <c r="H99"/>
      <c r="I99">
        <v>1</v>
      </c>
      <c r="J99" t="inlineStr">
        <is>
          <t>Test adding a comment to an answer</t>
        </is>
      </c>
      <c r="K99" t="inlineStr">
        <is>
          <t>测试为回答添加评论的功能</t>
        </is>
      </c>
      <c r="L99" s="2" t="str">
        <f>=HYPERLINK("https://atoms.dev/chat/fd38197bcb744c1896bfa5bd112f3ce4", "https://atoms.dev/chat/fd38197bcb744c1896bfa5bd112f3ce4")</f>
        <v>https://atoms.dev/chat/fd38197bcb744c1896bfa5bd112f3ce4</v>
      </c>
      <c r="M99" s="2" t="str">
        <f>=HYPERLINK("https://890129-fd38197bcb744c1896bfa5bd112f3ce4-latest-dev.dev.atoms.dev/", "https://890129-fd38197bcb744c1896bfa5bd112f3ce4-latest-dev.dev.atoms.dev/")</f>
        <v>https://890129-fd38197bcb744c1896bfa5bd112f3ce4-latest-dev.dev.atoms.dev/</v>
      </c>
      <c r="N99" s="2" t="str">
        <f>=HYPERLINK("http://press_test7@mgx.dev", "press_test7@mgx.dev")</f>
        <v>press_test7@mgx.dev</v>
      </c>
      <c r="O99" t="inlineStr">
        <is>
          <t>fd38197bcb744c1896bfa5bd112f3ce4</t>
        </is>
      </c>
    </row>
    <row r="100" ht="25.5" customHeight="1">
      <c r="A100" t="inlineStr">
        <is>
          <t>CodeHub Forum</t>
        </is>
      </c>
      <c r="B100">
        <v>9</v>
      </c>
      <c r="C100" t="inlineStr">
        <is>
          <t>@杨春玉</t>
        </is>
      </c>
      <c r="D100">
        <v>1</v>
      </c>
      <c r="E100"/>
      <c r="F100" t="inlineStr">
        <is>
          <t>@陈佳杰</t>
        </is>
      </c>
      <c r="G100">
        <v>1</v>
      </c>
      <c r="H100"/>
      <c r="I100">
        <v>2</v>
      </c>
      <c r="J100" t="inlineStr">
        <is>
          <t>Test adding tags to a new question</t>
        </is>
      </c>
      <c r="K100" t="inlineStr">
        <is>
          <t>测试为新问题添加标签的功能</t>
        </is>
      </c>
      <c r="L100" s="2" t="str">
        <f>=HYPERLINK("https://atoms.dev/chat/fd38197bcb744c1896bfa5bd112f3ce4", "https://atoms.dev/chat/fd38197bcb744c1896bfa5bd112f3ce4")</f>
        <v>https://atoms.dev/chat/fd38197bcb744c1896bfa5bd112f3ce4</v>
      </c>
      <c r="M100" s="2" t="str">
        <f>=HYPERLINK("https://890129-fd38197bcb744c1896bfa5bd112f3ce4-latest-dev.dev.atoms.dev/", "https://890129-fd38197bcb744c1896bfa5bd112f3ce4-latest-dev.dev.atoms.dev/")</f>
        <v>https://890129-fd38197bcb744c1896bfa5bd112f3ce4-latest-dev.dev.atoms.dev/</v>
      </c>
      <c r="N100" s="2" t="str">
        <f>=HYPERLINK("http://press_test7@mgx.dev", "press_test7@mgx.dev")</f>
        <v>press_test7@mgx.dev</v>
      </c>
      <c r="O100" t="inlineStr">
        <is>
          <t>fd38197bcb744c1896bfa5bd112f3ce4</t>
        </is>
      </c>
    </row>
    <row r="101" ht="25.5" customHeight="1">
      <c r="A101" t="inlineStr">
        <is>
          <t>CodeHub Forum</t>
        </is>
      </c>
      <c r="B101">
        <v>9</v>
      </c>
      <c r="C101" t="inlineStr">
        <is>
          <t>@杨春玉</t>
        </is>
      </c>
      <c r="D101">
        <v>0</v>
      </c>
      <c r="E101" t="inlineStr">
        <is>
          <t>无法打开已有问题</t>
        </is>
      </c>
      <c r="F101" t="inlineStr">
        <is>
          <t>@陈佳杰</t>
        </is>
      </c>
      <c r="G101">
        <v>0</v>
      </c>
      <c r="H101" t="inlineStr">
        <is>
          <t>无法查看已有的问题</t>
        </is>
      </c>
      <c r="I101">
        <v>3</v>
      </c>
      <c r="J101" t="inlineStr">
        <is>
          <t>Test answering an existing question</t>
        </is>
      </c>
      <c r="K101" t="inlineStr">
        <is>
          <t>测试回答已有问题的功能</t>
        </is>
      </c>
      <c r="L101" s="2" t="str">
        <f>=HYPERLINK("https://atoms.dev/chat/fd38197bcb744c1896bfa5bd112f3ce4", "https://atoms.dev/chat/fd38197bcb744c1896bfa5bd112f3ce4")</f>
        <v>https://atoms.dev/chat/fd38197bcb744c1896bfa5bd112f3ce4</v>
      </c>
      <c r="M101" s="2" t="str">
        <f>=HYPERLINK("https://890129-fd38197bcb744c1896bfa5bd112f3ce4-latest-dev.dev.atoms.dev/", "https://890129-fd38197bcb744c1896bfa5bd112f3ce4-latest-dev.dev.atoms.dev/")</f>
        <v>https://890129-fd38197bcb744c1896bfa5bd112f3ce4-latest-dev.dev.atoms.dev/</v>
      </c>
      <c r="N101" s="2" t="str">
        <f>=HYPERLINK("http://press_test7@mgx.dev", "press_test7@mgx.dev")</f>
        <v>press_test7@mgx.dev</v>
      </c>
      <c r="O101" t="inlineStr">
        <is>
          <t>fd38197bcb744c1896bfa5bd112f3ce4</t>
        </is>
      </c>
    </row>
    <row r="102" ht="25.5" customHeight="1">
      <c r="A102" t="inlineStr">
        <is>
          <t>CodeHub Forum</t>
        </is>
      </c>
      <c r="B102">
        <v>9</v>
      </c>
      <c r="C102" t="inlineStr">
        <is>
          <t>@杨春玉</t>
        </is>
      </c>
      <c r="D102">
        <v>0</v>
      </c>
      <c r="E102" t="inlineStr">
        <is>
          <t>无此功能</t>
        </is>
      </c>
      <c r="F102" t="inlineStr">
        <is>
          <t>@陈佳杰</t>
        </is>
      </c>
      <c r="G102">
        <v>0</v>
      </c>
      <c r="H102" t="inlineStr">
        <is>
          <t>缺少此功能</t>
        </is>
      </c>
      <c r="I102">
        <v>4</v>
      </c>
      <c r="J102" t="inlineStr">
        <is>
          <t>Test deleting a question</t>
        </is>
      </c>
      <c r="K102" t="inlineStr">
        <is>
          <t>测试删除问题的功能</t>
        </is>
      </c>
      <c r="L102" s="2" t="str">
        <f>=HYPERLINK("https://atoms.dev/chat/fd38197bcb744c1896bfa5bd112f3ce4", "https://atoms.dev/chat/fd38197bcb744c1896bfa5bd112f3ce4")</f>
        <v>https://atoms.dev/chat/fd38197bcb744c1896bfa5bd112f3ce4</v>
      </c>
      <c r="M102" s="2" t="str">
        <f>=HYPERLINK("https://890129-fd38197bcb744c1896bfa5bd112f3ce4-latest-dev.dev.atoms.dev/", "https://890129-fd38197bcb744c1896bfa5bd112f3ce4-latest-dev.dev.atoms.dev/")</f>
        <v>https://890129-fd38197bcb744c1896bfa5bd112f3ce4-latest-dev.dev.atoms.dev/</v>
      </c>
      <c r="N102" s="2" t="str">
        <f>=HYPERLINK("http://press_test7@mgx.dev", "press_test7@mgx.dev")</f>
        <v>press_test7@mgx.dev</v>
      </c>
      <c r="O102" t="inlineStr">
        <is>
          <t>fd38197bcb744c1896bfa5bd112f3ce4</t>
        </is>
      </c>
    </row>
    <row r="103" ht="25.5" customHeight="1">
      <c r="A103" t="inlineStr">
        <is>
          <t>CodeHub Forum</t>
        </is>
      </c>
      <c r="B103">
        <v>9</v>
      </c>
      <c r="C103" t="inlineStr">
        <is>
          <t>@杨春玉</t>
        </is>
      </c>
      <c r="D103">
        <v>0</v>
      </c>
      <c r="E103" t="inlineStr">
        <is>
          <t>无此功能</t>
        </is>
      </c>
      <c r="F103" t="inlineStr">
        <is>
          <t>@陈佳杰</t>
        </is>
      </c>
      <c r="G103">
        <v>0</v>
      </c>
      <c r="H103" t="inlineStr">
        <is>
          <t>无法编辑</t>
        </is>
      </c>
      <c r="I103">
        <v>5</v>
      </c>
      <c r="J103" t="inlineStr">
        <is>
          <t>Test editing a previously posted comment</t>
        </is>
      </c>
      <c r="K103" t="inlineStr">
        <is>
          <t>测试编辑已发布的评论</t>
        </is>
      </c>
      <c r="L103" s="2" t="str">
        <f>=HYPERLINK("https://atoms.dev/chat/fd38197bcb744c1896bfa5bd112f3ce4", "https://atoms.dev/chat/fd38197bcb744c1896bfa5bd112f3ce4")</f>
        <v>https://atoms.dev/chat/fd38197bcb744c1896bfa5bd112f3ce4</v>
      </c>
      <c r="M103" s="2" t="str">
        <f>=HYPERLINK("https://890129-fd38197bcb744c1896bfa5bd112f3ce4-latest-dev.dev.atoms.dev/", "https://890129-fd38197bcb744c1896bfa5bd112f3ce4-latest-dev.dev.atoms.dev/")</f>
        <v>https://890129-fd38197bcb744c1896bfa5bd112f3ce4-latest-dev.dev.atoms.dev/</v>
      </c>
      <c r="N103" s="2" t="str">
        <f>=HYPERLINK("http://press_test7@mgx.dev", "press_test7@mgx.dev")</f>
        <v>press_test7@mgx.dev</v>
      </c>
      <c r="O103" t="inlineStr">
        <is>
          <t>fd38197bcb744c1896bfa5bd112f3ce4</t>
        </is>
      </c>
    </row>
    <row r="104" ht="25.5" customHeight="1">
      <c r="A104" t="inlineStr">
        <is>
          <t>CodeHub Forum</t>
        </is>
      </c>
      <c r="B104">
        <v>9</v>
      </c>
      <c r="C104" t="inlineStr">
        <is>
          <t>@杨春玉</t>
        </is>
      </c>
      <c r="D104">
        <v>0</v>
      </c>
      <c r="E104" t="inlineStr">
        <is>
          <t>无此功能</t>
        </is>
      </c>
      <c r="F104" t="inlineStr">
        <is>
          <t>@陈佳杰</t>
        </is>
      </c>
      <c r="G104">
        <v>0</v>
      </c>
      <c r="H104" t="inlineStr">
        <is>
          <t>无法编辑</t>
        </is>
      </c>
      <c r="I104">
        <v>6</v>
      </c>
      <c r="J104" t="inlineStr">
        <is>
          <t>Test editing a previously posted question</t>
        </is>
      </c>
      <c r="K104" t="inlineStr">
        <is>
          <t>测试编辑已发布的问题</t>
        </is>
      </c>
      <c r="L104" s="2" t="str">
        <f>=HYPERLINK("https://atoms.dev/chat/fd38197bcb744c1896bfa5bd112f3ce4", "https://atoms.dev/chat/fd38197bcb744c1896bfa5bd112f3ce4")</f>
        <v>https://atoms.dev/chat/fd38197bcb744c1896bfa5bd112f3ce4</v>
      </c>
      <c r="M104" s="2" t="str">
        <f>=HYPERLINK("https://890129-fd38197bcb744c1896bfa5bd112f3ce4-latest-dev.dev.atoms.dev/", "https://890129-fd38197bcb744c1896bfa5bd112f3ce4-latest-dev.dev.atoms.dev/")</f>
        <v>https://890129-fd38197bcb744c1896bfa5bd112f3ce4-latest-dev.dev.atoms.dev/</v>
      </c>
      <c r="N104" s="2" t="str">
        <f>=HYPERLINK("http://press_test7@mgx.dev", "press_test7@mgx.dev")</f>
        <v>press_test7@mgx.dev</v>
      </c>
      <c r="O104" t="inlineStr">
        <is>
          <t>fd38197bcb744c1896bfa5bd112f3ce4</t>
        </is>
      </c>
    </row>
    <row r="105" ht="25.5" customHeight="1">
      <c r="A105" t="inlineStr">
        <is>
          <t>CodeHub Forum</t>
        </is>
      </c>
      <c r="B105">
        <v>9</v>
      </c>
      <c r="C105" t="inlineStr">
        <is>
          <t>@杨春玉</t>
        </is>
      </c>
      <c r="D105">
        <v>0</v>
      </c>
      <c r="E105" t="inlineStr">
        <is>
          <t>点赞后点赞数未更新</t>
        </is>
      </c>
      <c r="F105" t="inlineStr">
        <is>
          <t>@陈佳杰</t>
        </is>
      </c>
      <c r="G105">
        <v>0</v>
      </c>
      <c r="H105" t="inlineStr">
        <is>
          <t>点赞后，没记录，该点赞无效</t>
        </is>
      </c>
      <c r="I105">
        <v>7</v>
      </c>
      <c r="J105" t="inlineStr">
        <is>
          <t>Test liking an answer</t>
        </is>
      </c>
      <c r="K105" t="inlineStr">
        <is>
          <t>测试为回答点赞的功能</t>
        </is>
      </c>
      <c r="L105" s="2" t="str">
        <f>=HYPERLINK("https://atoms.dev/chat/fd38197bcb744c1896bfa5bd112f3ce4", "https://atoms.dev/chat/fd38197bcb744c1896bfa5bd112f3ce4")</f>
        <v>https://atoms.dev/chat/fd38197bcb744c1896bfa5bd112f3ce4</v>
      </c>
      <c r="M105" s="2" t="str">
        <f>=HYPERLINK("https://890129-fd38197bcb744c1896bfa5bd112f3ce4-latest-dev.dev.atoms.dev/", "https://890129-fd38197bcb744c1896bfa5bd112f3ce4-latest-dev.dev.atoms.dev/")</f>
        <v>https://890129-fd38197bcb744c1896bfa5bd112f3ce4-latest-dev.dev.atoms.dev/</v>
      </c>
      <c r="N105" s="2" t="str">
        <f>=HYPERLINK("http://press_test7@mgx.dev", "press_test7@mgx.dev")</f>
        <v>press_test7@mgx.dev</v>
      </c>
      <c r="O105" t="inlineStr">
        <is>
          <t>fd38197bcb744c1896bfa5bd112f3ce4</t>
        </is>
      </c>
    </row>
    <row r="106" ht="25.5" customHeight="1">
      <c r="A106" t="inlineStr">
        <is>
          <t>CodeHub Forum</t>
        </is>
      </c>
      <c r="B106">
        <v>9</v>
      </c>
      <c r="C106" t="inlineStr">
        <is>
          <t>@杨春玉</t>
        </is>
      </c>
      <c r="D106">
        <v>1</v>
      </c>
      <c r="E106"/>
      <c r="F106" t="inlineStr">
        <is>
          <t>@陈佳杰</t>
        </is>
      </c>
      <c r="G106">
        <v>1</v>
      </c>
      <c r="H106"/>
      <c r="I106">
        <v>8</v>
      </c>
      <c r="J106" t="inlineStr">
        <is>
          <t>Test posting a new question with code snippet</t>
        </is>
      </c>
      <c r="K106" t="inlineStr">
        <is>
          <t>测试发布带有代码片段的新问题</t>
        </is>
      </c>
      <c r="L106" s="2" t="str">
        <f>=HYPERLINK("https://atoms.dev/chat/fd38197bcb744c1896bfa5bd112f3ce4", "https://atoms.dev/chat/fd38197bcb744c1896bfa5bd112f3ce4")</f>
        <v>https://atoms.dev/chat/fd38197bcb744c1896bfa5bd112f3ce4</v>
      </c>
      <c r="M106" s="2" t="str">
        <f>=HYPERLINK("https://890129-fd38197bcb744c1896bfa5bd112f3ce4-latest-dev.dev.atoms.dev/", "https://890129-fd38197bcb744c1896bfa5bd112f3ce4-latest-dev.dev.atoms.dev/")</f>
        <v>https://890129-fd38197bcb744c1896bfa5bd112f3ce4-latest-dev.dev.atoms.dev/</v>
      </c>
      <c r="N106" s="2" t="str">
        <f>=HYPERLINK("http://press_test7@mgx.dev", "press_test7@mgx.dev")</f>
        <v>press_test7@mgx.dev</v>
      </c>
      <c r="O106" t="inlineStr">
        <is>
          <t>fd38197bcb744c1896bfa5bd112f3ce4</t>
        </is>
      </c>
    </row>
    <row r="107" ht="25.5" customHeight="1">
      <c r="A107" t="inlineStr">
        <is>
          <t>CodeHub Forum</t>
        </is>
      </c>
      <c r="B107">
        <v>9</v>
      </c>
      <c r="C107" t="inlineStr">
        <is>
          <t>@杨春玉</t>
        </is>
      </c>
      <c r="D107">
        <v>1</v>
      </c>
      <c r="E107"/>
      <c r="F107" t="inlineStr">
        <is>
          <t>@陈佳杰</t>
        </is>
      </c>
      <c r="G107">
        <v>1</v>
      </c>
      <c r="H107"/>
      <c r="I107">
        <v>9</v>
      </c>
      <c r="J107" t="inlineStr">
        <is>
          <t>Test posting a new question with text content</t>
        </is>
      </c>
      <c r="K107" t="inlineStr">
        <is>
          <t>测试发布纯文本内容的新问题</t>
        </is>
      </c>
      <c r="L107" s="2" t="str">
        <f>=HYPERLINK("https://atoms.dev/chat/fd38197bcb744c1896bfa5bd112f3ce4", "https://atoms.dev/chat/fd38197bcb744c1896bfa5bd112f3ce4")</f>
        <v>https://atoms.dev/chat/fd38197bcb744c1896bfa5bd112f3ce4</v>
      </c>
      <c r="M107" s="2" t="str">
        <f>=HYPERLINK("https://890129-fd38197bcb744c1896bfa5bd112f3ce4-latest-dev.dev.atoms.dev/", "https://890129-fd38197bcb744c1896bfa5bd112f3ce4-latest-dev.dev.atoms.dev/")</f>
        <v>https://890129-fd38197bcb744c1896bfa5bd112f3ce4-latest-dev.dev.atoms.dev/</v>
      </c>
      <c r="N107" s="2" t="str">
        <f>=HYPERLINK("http://press_test7@mgx.dev", "press_test7@mgx.dev")</f>
        <v>press_test7@mgx.dev</v>
      </c>
      <c r="O107" t="inlineStr">
        <is>
          <t>fd38197bcb744c1896bfa5bd112f3ce4</t>
        </is>
      </c>
    </row>
    <row r="108" ht="25.5" customHeight="1">
      <c r="A108" t="inlineStr">
        <is>
          <t>CodeHub Forum</t>
        </is>
      </c>
      <c r="B108">
        <v>9</v>
      </c>
      <c r="C108" t="inlineStr">
        <is>
          <t>@杨春玉</t>
        </is>
      </c>
      <c r="D108">
        <v>1</v>
      </c>
      <c r="E108"/>
      <c r="F108" t="inlineStr">
        <is>
          <t>@陈佳杰</t>
        </is>
      </c>
      <c r="G108">
        <v>0</v>
      </c>
      <c r="H108" t="inlineStr">
        <is>
          <t>无法编辑已发布的问题</t>
        </is>
      </c>
      <c r="I108">
        <v>10</v>
      </c>
      <c r="J108" t="inlineStr">
        <is>
          <t>Test removing tags from a question</t>
        </is>
      </c>
      <c r="K108" t="inlineStr">
        <is>
          <t>测试从问题中移除标签的功能</t>
        </is>
      </c>
      <c r="L108" s="2" t="str">
        <f>=HYPERLINK("https://atoms.dev/chat/fd38197bcb744c1896bfa5bd112f3ce4", "https://atoms.dev/chat/fd38197bcb744c1896bfa5bd112f3ce4")</f>
        <v>https://atoms.dev/chat/fd38197bcb744c1896bfa5bd112f3ce4</v>
      </c>
      <c r="M108" s="2" t="str">
        <f>=HYPERLINK("https://890129-fd38197bcb744c1896bfa5bd112f3ce4-latest-dev.dev.atoms.dev/", "https://890129-fd38197bcb744c1896bfa5bd112f3ce4-latest-dev.dev.atoms.dev/")</f>
        <v>https://890129-fd38197bcb744c1896bfa5bd112f3ce4-latest-dev.dev.atoms.dev/</v>
      </c>
      <c r="N108" s="2" t="str">
        <f>=HYPERLINK("http://press_test7@mgx.dev", "press_test7@mgx.dev")</f>
        <v>press_test7@mgx.dev</v>
      </c>
      <c r="O108" t="inlineStr">
        <is>
          <t>fd38197bcb744c1896bfa5bd112f3ce4</t>
        </is>
      </c>
    </row>
    <row r="109" ht="25.5" customHeight="1">
      <c r="A109" t="inlineStr">
        <is>
          <t>CodeHub Forum</t>
        </is>
      </c>
      <c r="B109">
        <v>9</v>
      </c>
      <c r="C109" t="inlineStr">
        <is>
          <t>@杨春玉</t>
        </is>
      </c>
      <c r="D109">
        <v>0</v>
      </c>
      <c r="E109" t="inlineStr">
        <is>
          <t>搜索结果为空</t>
        </is>
      </c>
      <c r="F109" t="inlineStr">
        <is>
          <t>@陈佳杰</t>
        </is>
      </c>
      <c r="G109">
        <v>0</v>
      </c>
      <c r="H109" t="inlineStr">
        <is>
          <t>检索后无结果</t>
        </is>
      </c>
      <c r="I109">
        <v>11</v>
      </c>
      <c r="J109" t="inlineStr">
        <is>
          <t>Test search functionality by username</t>
        </is>
      </c>
      <c r="K109" t="inlineStr">
        <is>
          <t>测试按用户名搜索的功能</t>
        </is>
      </c>
      <c r="L109" s="2" t="str">
        <f>=HYPERLINK("https://atoms.dev/chat/fd38197bcb744c1896bfa5bd112f3ce4", "https://atoms.dev/chat/fd38197bcb744c1896bfa5bd112f3ce4")</f>
        <v>https://atoms.dev/chat/fd38197bcb744c1896bfa5bd112f3ce4</v>
      </c>
      <c r="M109" s="2" t="str">
        <f>=HYPERLINK("https://890129-fd38197bcb744c1896bfa5bd112f3ce4-latest-dev.dev.atoms.dev/", "https://890129-fd38197bcb744c1896bfa5bd112f3ce4-latest-dev.dev.atoms.dev/")</f>
        <v>https://890129-fd38197bcb744c1896bfa5bd112f3ce4-latest-dev.dev.atoms.dev/</v>
      </c>
      <c r="N109" s="2" t="str">
        <f>=HYPERLINK("http://press_test7@mgx.dev", "press_test7@mgx.dev")</f>
        <v>press_test7@mgx.dev</v>
      </c>
      <c r="O109" t="inlineStr">
        <is>
          <t>fd38197bcb744c1896bfa5bd112f3ce4</t>
        </is>
      </c>
    </row>
    <row r="110" ht="25.5" customHeight="1">
      <c r="A110" t="inlineStr">
        <is>
          <t>CodeHub Forum</t>
        </is>
      </c>
      <c r="B110">
        <v>9</v>
      </c>
      <c r="C110" t="inlineStr">
        <is>
          <t>@杨春玉</t>
        </is>
      </c>
      <c r="D110">
        <v>1</v>
      </c>
      <c r="E110"/>
      <c r="F110" t="inlineStr">
        <is>
          <t>@陈佳杰</t>
        </is>
      </c>
      <c r="G110">
        <v>1</v>
      </c>
      <c r="H110"/>
      <c r="I110">
        <v>12</v>
      </c>
      <c r="J110" t="inlineStr">
        <is>
          <t>Test search functionality with keywords</t>
        </is>
      </c>
      <c r="K110" t="inlineStr">
        <is>
          <t>测试按关键词搜索的功能</t>
        </is>
      </c>
      <c r="L110" s="2" t="str">
        <f>=HYPERLINK("https://atoms.dev/chat/fd38197bcb744c1896bfa5bd112f3ce4", "https://atoms.dev/chat/fd38197bcb744c1896bfa5bd112f3ce4")</f>
        <v>https://atoms.dev/chat/fd38197bcb744c1896bfa5bd112f3ce4</v>
      </c>
      <c r="M110" s="2" t="str">
        <f>=HYPERLINK("https://890129-fd38197bcb744c1896bfa5bd112f3ce4-latest-dev.dev.atoms.dev/", "https://890129-fd38197bcb744c1896bfa5bd112f3ce4-latest-dev.dev.atoms.dev/")</f>
        <v>https://890129-fd38197bcb744c1896bfa5bd112f3ce4-latest-dev.dev.atoms.dev/</v>
      </c>
      <c r="N110" s="2" t="str">
        <f>=HYPERLINK("http://press_test7@mgx.dev", "press_test7@mgx.dev")</f>
        <v>press_test7@mgx.dev</v>
      </c>
      <c r="O110" t="inlineStr">
        <is>
          <t>fd38197bcb744c1896bfa5bd112f3ce4</t>
        </is>
      </c>
    </row>
    <row r="111" ht="25.5" customHeight="1">
      <c r="A111" t="inlineStr">
        <is>
          <t>CodeHub Forum</t>
        </is>
      </c>
      <c r="B111">
        <v>9</v>
      </c>
      <c r="C111" t="inlineStr">
        <is>
          <t>@杨春玉</t>
        </is>
      </c>
      <c r="D111">
        <v>0</v>
      </c>
      <c r="E111" t="inlineStr">
        <is>
          <t>搜索结果为空</t>
        </is>
      </c>
      <c r="F111" t="inlineStr">
        <is>
          <t>@陈佳杰</t>
        </is>
      </c>
      <c r="G111">
        <v>1</v>
      </c>
      <c r="H111"/>
      <c r="I111">
        <v>13</v>
      </c>
      <c r="J111" t="inlineStr">
        <is>
          <t>Test search functionality with tags</t>
        </is>
      </c>
      <c r="K111" t="inlineStr">
        <is>
          <t>测试按标签搜索的功能</t>
        </is>
      </c>
      <c r="L111" s="2" t="str">
        <f>=HYPERLINK("https://atoms.dev/chat/fd38197bcb744c1896bfa5bd112f3ce4", "https://atoms.dev/chat/fd38197bcb744c1896bfa5bd112f3ce4")</f>
        <v>https://atoms.dev/chat/fd38197bcb744c1896bfa5bd112f3ce4</v>
      </c>
      <c r="M111" s="2" t="str">
        <f>=HYPERLINK("https://890129-fd38197bcb744c1896bfa5bd112f3ce4-latest-dev.dev.atoms.dev/", "https://890129-fd38197bcb744c1896bfa5bd112f3ce4-latest-dev.dev.atoms.dev/")</f>
        <v>https://890129-fd38197bcb744c1896bfa5bd112f3ce4-latest-dev.dev.atoms.dev/</v>
      </c>
      <c r="N111" s="2" t="str">
        <f>=HYPERLINK("http://press_test7@mgx.dev", "press_test7@mgx.dev")</f>
        <v>press_test7@mgx.dev</v>
      </c>
      <c r="O111" t="inlineStr">
        <is>
          <t>fd38197bcb744c1896bfa5bd112f3ce4</t>
        </is>
      </c>
    </row>
    <row r="112" ht="25.5" customHeight="1">
      <c r="A112" t="inlineStr">
        <is>
          <t>CodeHub Forum</t>
        </is>
      </c>
      <c r="B112">
        <v>9</v>
      </c>
      <c r="C112" t="inlineStr">
        <is>
          <t>@杨春玉</t>
        </is>
      </c>
      <c r="D112">
        <v>0</v>
      </c>
      <c r="E112" t="inlineStr">
        <is>
          <t>搜索结果为空</t>
        </is>
      </c>
      <c r="F112" t="inlineStr">
        <is>
          <t>@陈佳杰</t>
        </is>
      </c>
      <c r="G112">
        <v>1</v>
      </c>
      <c r="H112"/>
      <c r="I112">
        <v>14</v>
      </c>
      <c r="J112" t="inlineStr">
        <is>
          <t>Test searching questions by tag</t>
        </is>
      </c>
      <c r="K112" t="inlineStr">
        <is>
          <t>测试按标签搜索问题的功能</t>
        </is>
      </c>
      <c r="L112" s="2" t="str">
        <f>=HYPERLINK("https://atoms.dev/chat/fd38197bcb744c1896bfa5bd112f3ce4", "https://atoms.dev/chat/fd38197bcb744c1896bfa5bd112f3ce4")</f>
        <v>https://atoms.dev/chat/fd38197bcb744c1896bfa5bd112f3ce4</v>
      </c>
      <c r="M112" s="2" t="str">
        <f>=HYPERLINK("https://890129-fd38197bcb744c1896bfa5bd112f3ce4-latest-dev.dev.atoms.dev/", "https://890129-fd38197bcb744c1896bfa5bd112f3ce4-latest-dev.dev.atoms.dev/")</f>
        <v>https://890129-fd38197bcb744c1896bfa5bd112f3ce4-latest-dev.dev.atoms.dev/</v>
      </c>
      <c r="N112" s="2" t="str">
        <f>=HYPERLINK("http://press_test7@mgx.dev", "press_test7@mgx.dev")</f>
        <v>press_test7@mgx.dev</v>
      </c>
      <c r="O112" t="inlineStr">
        <is>
          <t>fd38197bcb744c1896bfa5bd112f3ce4</t>
        </is>
      </c>
    </row>
    <row r="113" ht="25.5" customHeight="1">
      <c r="A113" t="inlineStr">
        <is>
          <t>CodeHub Forum</t>
        </is>
      </c>
      <c r="B113">
        <v>9</v>
      </c>
      <c r="C113" t="inlineStr">
        <is>
          <t>@杨春玉</t>
        </is>
      </c>
      <c r="D113">
        <v>0</v>
      </c>
      <c r="E113" t="inlineStr">
        <is>
          <t>无法向其他用户发送私信</t>
        </is>
      </c>
      <c r="F113" t="inlineStr">
        <is>
          <t>@陈佳杰</t>
        </is>
      </c>
      <c r="G113">
        <v>0</v>
      </c>
      <c r="H113" t="inlineStr">
        <is>
          <t>无法打开问题页面，无法查看其他用户的个人页面</t>
        </is>
      </c>
      <c r="I113">
        <v>15</v>
      </c>
      <c r="J113" t="inlineStr">
        <is>
          <t>Test sending a private message to another user</t>
        </is>
      </c>
      <c r="K113" t="inlineStr">
        <is>
          <t>测试向其他用户发送私信的功能</t>
        </is>
      </c>
      <c r="L113" s="2" t="str">
        <f>=HYPERLINK("https://atoms.dev/chat/fd38197bcb744c1896bfa5bd112f3ce4", "https://atoms.dev/chat/fd38197bcb744c1896bfa5bd112f3ce4")</f>
        <v>https://atoms.dev/chat/fd38197bcb744c1896bfa5bd112f3ce4</v>
      </c>
      <c r="M113" s="2" t="str">
        <f>=HYPERLINK("https://890129-fd38197bcb744c1896bfa5bd112f3ce4-latest-dev.dev.atoms.dev/", "https://890129-fd38197bcb744c1896bfa5bd112f3ce4-latest-dev.dev.atoms.dev/")</f>
        <v>https://890129-fd38197bcb744c1896bfa5bd112f3ce4-latest-dev.dev.atoms.dev/</v>
      </c>
      <c r="N113" s="2" t="str">
        <f>=HYPERLINK("http://press_test7@mgx.dev", "press_test7@mgx.dev")</f>
        <v>press_test7@mgx.dev</v>
      </c>
      <c r="O113" t="inlineStr">
        <is>
          <t>fd38197bcb744c1896bfa5bd112f3ce4</t>
        </is>
      </c>
    </row>
    <row r="114" ht="25.5" customHeight="1">
      <c r="A114" t="inlineStr">
        <is>
          <t>CodeHub Forum</t>
        </is>
      </c>
      <c r="B114">
        <v>9</v>
      </c>
      <c r="C114" t="inlineStr">
        <is>
          <t>@杨春玉</t>
        </is>
      </c>
      <c r="D114">
        <v>0</v>
      </c>
      <c r="E114" t="inlineStr">
        <is>
          <t>订阅标签后，有该标签问题提出没有发送通知</t>
        </is>
      </c>
      <c r="F114" t="inlineStr">
        <is>
          <t>@陈佳杰</t>
        </is>
      </c>
      <c r="G114">
        <v>1</v>
      </c>
      <c r="H114"/>
      <c r="I114">
        <v>16</v>
      </c>
      <c r="J114" t="inlineStr">
        <is>
          <t>Test subscribing to a specific tag</t>
        </is>
      </c>
      <c r="K114" t="inlineStr">
        <is>
          <t>测试订阅特定标签的功能</t>
        </is>
      </c>
      <c r="L114" s="2" t="str">
        <f>=HYPERLINK("https://atoms.dev/chat/fd38197bcb744c1896bfa5bd112f3ce4", "https://atoms.dev/chat/fd38197bcb744c1896bfa5bd112f3ce4")</f>
        <v>https://atoms.dev/chat/fd38197bcb744c1896bfa5bd112f3ce4</v>
      </c>
      <c r="M114" s="2" t="str">
        <f>=HYPERLINK("https://890129-fd38197bcb744c1896bfa5bd112f3ce4-latest-dev.dev.atoms.dev/", "https://890129-fd38197bcb744c1896bfa5bd112f3ce4-latest-dev.dev.atoms.dev/")</f>
        <v>https://890129-fd38197bcb744c1896bfa5bd112f3ce4-latest-dev.dev.atoms.dev/</v>
      </c>
      <c r="N114" s="2" t="str">
        <f>=HYPERLINK("http://press_test7@mgx.dev", "press_test7@mgx.dev")</f>
        <v>press_test7@mgx.dev</v>
      </c>
      <c r="O114" t="inlineStr">
        <is>
          <t>fd38197bcb744c1896bfa5bd112f3ce4</t>
        </is>
      </c>
    </row>
    <row r="115" ht="25.5" customHeight="1">
      <c r="A115" t="inlineStr">
        <is>
          <t>CodeHub Forum</t>
        </is>
      </c>
      <c r="B115">
        <v>9</v>
      </c>
      <c r="C115" t="inlineStr">
        <is>
          <t>@杨春玉</t>
        </is>
      </c>
      <c r="D115">
        <v>1</v>
      </c>
      <c r="E115"/>
      <c r="F115" t="inlineStr">
        <is>
          <t>@陈佳杰</t>
        </is>
      </c>
      <c r="G115">
        <v>0</v>
      </c>
      <c r="H115" t="inlineStr">
        <is>
          <t>无法打开问题页面</t>
        </is>
      </c>
      <c r="I115">
        <v>17</v>
      </c>
      <c r="J115" t="inlineStr">
        <is>
          <t>Test unsubscribing from a previously subscribed tag</t>
        </is>
      </c>
      <c r="K115" t="inlineStr">
        <is>
          <t>测试取消订阅已关注的标签</t>
        </is>
      </c>
      <c r="L115" s="2" t="str">
        <f>=HYPERLINK("https://atoms.dev/chat/fd38197bcb744c1896bfa5bd112f3ce4", "https://atoms.dev/chat/fd38197bcb744c1896bfa5bd112f3ce4")</f>
        <v>https://atoms.dev/chat/fd38197bcb744c1896bfa5bd112f3ce4</v>
      </c>
      <c r="M115" s="2" t="str">
        <f>=HYPERLINK("https://890129-fd38197bcb744c1896bfa5bd112f3ce4-latest-dev.dev.atoms.dev/", "https://890129-fd38197bcb744c1896bfa5bd112f3ce4-latest-dev.dev.atoms.dev/")</f>
        <v>https://890129-fd38197bcb744c1896bfa5bd112f3ce4-latest-dev.dev.atoms.dev/</v>
      </c>
      <c r="N115" s="2" t="str">
        <f>=HYPERLINK("http://press_test7@mgx.dev", "press_test7@mgx.dev")</f>
        <v>press_test7@mgx.dev</v>
      </c>
      <c r="O115" t="inlineStr">
        <is>
          <t>fd38197bcb744c1896bfa5bd112f3ce4</t>
        </is>
      </c>
    </row>
    <row r="116" ht="25.5" customHeight="1">
      <c r="A116" t="inlineStr">
        <is>
          <t>CodeHub Forum</t>
        </is>
      </c>
      <c r="B116">
        <v>9</v>
      </c>
      <c r="C116" t="inlineStr">
        <is>
          <t>@杨春玉</t>
        </is>
      </c>
      <c r="D116">
        <v>1</v>
      </c>
      <c r="E116"/>
      <c r="F116" t="inlineStr">
        <is>
          <t>@陈佳杰</t>
        </is>
      </c>
      <c r="G116">
        <v>1</v>
      </c>
      <c r="H116"/>
      <c r="I116">
        <v>18</v>
      </c>
      <c r="J116" t="inlineStr">
        <is>
          <t>Test user login with correct credentials</t>
        </is>
      </c>
      <c r="K116" t="inlineStr">
        <is>
          <t>测试使用正确的账号信息登录</t>
        </is>
      </c>
      <c r="L116" s="2" t="str">
        <f>=HYPERLINK("https://atoms.dev/chat/fd38197bcb744c1896bfa5bd112f3ce4", "https://atoms.dev/chat/fd38197bcb744c1896bfa5bd112f3ce4")</f>
        <v>https://atoms.dev/chat/fd38197bcb744c1896bfa5bd112f3ce4</v>
      </c>
      <c r="M116" s="2" t="str">
        <f>=HYPERLINK("https://890129-fd38197bcb744c1896bfa5bd112f3ce4-latest-dev.dev.atoms.dev/", "https://890129-fd38197bcb744c1896bfa5bd112f3ce4-latest-dev.dev.atoms.dev/")</f>
        <v>https://890129-fd38197bcb744c1896bfa5bd112f3ce4-latest-dev.dev.atoms.dev/</v>
      </c>
      <c r="N116" s="2" t="str">
        <f>=HYPERLINK("http://press_test7@mgx.dev", "press_test7@mgx.dev")</f>
        <v>press_test7@mgx.dev</v>
      </c>
      <c r="O116" t="inlineStr">
        <is>
          <t>fd38197bcb744c1896bfa5bd112f3ce4</t>
        </is>
      </c>
    </row>
    <row r="117" ht="25.5" customHeight="1">
      <c r="A117" t="inlineStr">
        <is>
          <t>CodeHub Forum</t>
        </is>
      </c>
      <c r="B117">
        <v>9</v>
      </c>
      <c r="C117" t="inlineStr">
        <is>
          <t>@杨春玉</t>
        </is>
      </c>
      <c r="D117">
        <v>1</v>
      </c>
      <c r="E117"/>
      <c r="F117" t="inlineStr">
        <is>
          <t>@陈佳杰</t>
        </is>
      </c>
      <c r="G117">
        <v>1</v>
      </c>
      <c r="H117"/>
      <c r="I117">
        <v>19</v>
      </c>
      <c r="J117" t="inlineStr">
        <is>
          <t>Test user login with incorrect password</t>
        </is>
      </c>
      <c r="K117" t="inlineStr">
        <is>
          <t>测试使用错误的密码登录</t>
        </is>
      </c>
      <c r="L117" s="2" t="str">
        <f>=HYPERLINK("https://atoms.dev/chat/fd38197bcb744c1896bfa5bd112f3ce4", "https://atoms.dev/chat/fd38197bcb744c1896bfa5bd112f3ce4")</f>
        <v>https://atoms.dev/chat/fd38197bcb744c1896bfa5bd112f3ce4</v>
      </c>
      <c r="M117" s="2" t="str">
        <f>=HYPERLINK("https://890129-fd38197bcb744c1896bfa5bd112f3ce4-latest-dev.dev.atoms.dev/", "https://890129-fd38197bcb744c1896bfa5bd112f3ce4-latest-dev.dev.atoms.dev/")</f>
        <v>https://890129-fd38197bcb744c1896bfa5bd112f3ce4-latest-dev.dev.atoms.dev/</v>
      </c>
      <c r="N117" s="2" t="str">
        <f>=HYPERLINK("http://press_test7@mgx.dev", "press_test7@mgx.dev")</f>
        <v>press_test7@mgx.dev</v>
      </c>
      <c r="O117" t="inlineStr">
        <is>
          <t>fd38197bcb744c1896bfa5bd112f3ce4</t>
        </is>
      </c>
    </row>
    <row r="118" ht="25.5" customHeight="1">
      <c r="A118" t="inlineStr">
        <is>
          <t>CodeHub Forum</t>
        </is>
      </c>
      <c r="B118">
        <v>9</v>
      </c>
      <c r="C118" t="inlineStr">
        <is>
          <t>@杨春玉</t>
        </is>
      </c>
      <c r="D118">
        <v>0</v>
      </c>
      <c r="E118" t="inlineStr">
        <is>
          <t>无注册功能</t>
        </is>
      </c>
      <c r="F118" t="inlineStr">
        <is>
          <t>@陈佳杰</t>
        </is>
      </c>
      <c r="G118">
        <v>1</v>
      </c>
      <c r="H118"/>
      <c r="I118">
        <v>20</v>
      </c>
      <c r="J118" t="inlineStr">
        <is>
          <t>Test user registration with existing username</t>
        </is>
      </c>
      <c r="K118" t="inlineStr">
        <is>
          <t>测试使用已存在的用户名注册</t>
        </is>
      </c>
      <c r="L118" s="2" t="str">
        <f>=HYPERLINK("https://atoms.dev/chat/fd38197bcb744c1896bfa5bd112f3ce4", "https://atoms.dev/chat/fd38197bcb744c1896bfa5bd112f3ce4")</f>
        <v>https://atoms.dev/chat/fd38197bcb744c1896bfa5bd112f3ce4</v>
      </c>
      <c r="M118" s="2" t="str">
        <f>=HYPERLINK("https://890129-fd38197bcb744c1896bfa5bd112f3ce4-latest-dev.dev.atoms.dev/", "https://890129-fd38197bcb744c1896bfa5bd112f3ce4-latest-dev.dev.atoms.dev/")</f>
        <v>https://890129-fd38197bcb744c1896bfa5bd112f3ce4-latest-dev.dev.atoms.dev/</v>
      </c>
      <c r="N118" s="2" t="str">
        <f>=HYPERLINK("http://press_test7@mgx.dev", "press_test7@mgx.dev")</f>
        <v>press_test7@mgx.dev</v>
      </c>
      <c r="O118" t="inlineStr">
        <is>
          <t>fd38197bcb744c1896bfa5bd112f3ce4</t>
        </is>
      </c>
    </row>
    <row r="119" ht="25.5" customHeight="1">
      <c r="A119" t="inlineStr">
        <is>
          <t>CodeHub Forum</t>
        </is>
      </c>
      <c r="B119">
        <v>9</v>
      </c>
      <c r="C119" t="inlineStr">
        <is>
          <t>@杨春玉</t>
        </is>
      </c>
      <c r="D119">
        <v>0</v>
      </c>
      <c r="E119" t="inlineStr">
        <is>
          <t>无注册功能</t>
        </is>
      </c>
      <c r="F119" t="inlineStr">
        <is>
          <t>@陈佳杰</t>
        </is>
      </c>
      <c r="G119">
        <v>1</v>
      </c>
      <c r="H119"/>
      <c r="I119">
        <v>21</v>
      </c>
      <c r="J119" t="inlineStr">
        <is>
          <t>Test user registration with valid information</t>
        </is>
      </c>
      <c r="K119" t="inlineStr">
        <is>
          <t>测试使用有效信息完成用户注册</t>
        </is>
      </c>
      <c r="L119" s="2" t="str">
        <f>=HYPERLINK("https://atoms.dev/chat/fd38197bcb744c1896bfa5bd112f3ce4", "https://atoms.dev/chat/fd38197bcb744c1896bfa5bd112f3ce4")</f>
        <v>https://atoms.dev/chat/fd38197bcb744c1896bfa5bd112f3ce4</v>
      </c>
      <c r="M119" s="2" t="str">
        <f>=HYPERLINK("https://890129-fd38197bcb744c1896bfa5bd112f3ce4-latest-dev.dev.atoms.dev/", "https://890129-fd38197bcb744c1896bfa5bd112f3ce4-latest-dev.dev.atoms.dev/")</f>
        <v>https://890129-fd38197bcb744c1896bfa5bd112f3ce4-latest-dev.dev.atoms.dev/</v>
      </c>
      <c r="N119" s="2" t="str">
        <f>=HYPERLINK("http://press_test7@mgx.dev", "press_test7@mgx.dev")</f>
        <v>press_test7@mgx.dev</v>
      </c>
      <c r="O119" t="inlineStr">
        <is>
          <t>fd38197bcb744c1896bfa5bd112f3ce4</t>
        </is>
      </c>
    </row>
    <row r="120" ht="25.5" customHeight="1">
      <c r="A120" t="inlineStr">
        <is>
          <t>CodeHub Forum</t>
        </is>
      </c>
      <c r="B120">
        <v>9</v>
      </c>
      <c r="C120" t="inlineStr">
        <is>
          <t>@杨春玉</t>
        </is>
      </c>
      <c r="D120">
        <v>0</v>
      </c>
      <c r="E120" t="inlineStr">
        <is>
          <t>无此功能</t>
        </is>
      </c>
      <c r="F120" t="inlineStr">
        <is>
          <t>@陈佳杰</t>
        </is>
      </c>
      <c r="G120">
        <v>1</v>
      </c>
      <c r="H120"/>
      <c r="I120">
        <v>22</v>
      </c>
      <c r="J120" t="inlineStr">
        <is>
          <t>Verify syntax highlighting for JavaScript code snippet</t>
        </is>
      </c>
      <c r="K120" t="inlineStr">
        <is>
          <t>验证JavaScript代码片段的语法高亮显示</t>
        </is>
      </c>
      <c r="L120" s="2" t="str">
        <f>=HYPERLINK("https://atoms.dev/chat/fd38197bcb744c1896bfa5bd112f3ce4", "https://atoms.dev/chat/fd38197bcb744c1896bfa5bd112f3ce4")</f>
        <v>https://atoms.dev/chat/fd38197bcb744c1896bfa5bd112f3ce4</v>
      </c>
      <c r="M120" s="2" t="str">
        <f>=HYPERLINK("https://890129-fd38197bcb744c1896bfa5bd112f3ce4-latest-dev.dev.atoms.dev/", "https://890129-fd38197bcb744c1896bfa5bd112f3ce4-latest-dev.dev.atoms.dev/")</f>
        <v>https://890129-fd38197bcb744c1896bfa5bd112f3ce4-latest-dev.dev.atoms.dev/</v>
      </c>
      <c r="N120" s="2" t="str">
        <f>=HYPERLINK("http://press_test7@mgx.dev", "press_test7@mgx.dev")</f>
        <v>press_test7@mgx.dev</v>
      </c>
      <c r="O120" t="inlineStr">
        <is>
          <t>fd38197bcb744c1896bfa5bd112f3ce4</t>
        </is>
      </c>
    </row>
    <row r="121" ht="25.5" customHeight="1">
      <c r="A121" t="inlineStr">
        <is>
          <t>CodeHub Forum</t>
        </is>
      </c>
      <c r="B121">
        <v>9</v>
      </c>
      <c r="C121" t="inlineStr">
        <is>
          <t>@杨春玉</t>
        </is>
      </c>
      <c r="D121">
        <v>0</v>
      </c>
      <c r="E121" t="inlineStr">
        <is>
          <t>点赞后点赞数未更新</t>
        </is>
      </c>
      <c r="F121" t="inlineStr">
        <is>
          <t>@陈佳杰</t>
        </is>
      </c>
      <c r="G121">
        <v>0</v>
      </c>
      <c r="H121" t="inlineStr">
        <is>
          <t>点赞功能异常</t>
        </is>
      </c>
      <c r="I121">
        <v>23</v>
      </c>
      <c r="J121" t="inlineStr">
        <is>
          <t>Verify user reputation increase after receiving an upvote</t>
        </is>
      </c>
      <c r="K121" t="inlineStr">
        <is>
          <t>验证用户收到点赞后声望值增加</t>
        </is>
      </c>
      <c r="L121" s="2" t="str">
        <f>=HYPERLINK("https://atoms.dev/chat/fd38197bcb744c1896bfa5bd112f3ce4", "https://atoms.dev/chat/fd38197bcb744c1896bfa5bd112f3ce4")</f>
        <v>https://atoms.dev/chat/fd38197bcb744c1896bfa5bd112f3ce4</v>
      </c>
      <c r="M121" s="2" t="str">
        <f>=HYPERLINK("https://890129-fd38197bcb744c1896bfa5bd112f3ce4-latest-dev.dev.atoms.dev/", "https://890129-fd38197bcb744c1896bfa5bd112f3ce4-latest-dev.dev.atoms.dev/")</f>
        <v>https://890129-fd38197bcb744c1896bfa5bd112f3ce4-latest-dev.dev.atoms.dev/</v>
      </c>
      <c r="N121" s="2" t="str">
        <f>=HYPERLINK("http://press_test7@mgx.dev", "press_test7@mgx.dev")</f>
        <v>press_test7@mgx.dev</v>
      </c>
      <c r="O121" t="inlineStr">
        <is>
          <t>fd38197bcb744c1896bfa5bd112f3ce4</t>
        </is>
      </c>
    </row>
    <row r="122" ht="25.5" customHeight="1">
      <c r="A122" t="inlineStr">
        <is>
          <t>CulturePuzzle</t>
        </is>
      </c>
      <c r="B122">
        <v>10</v>
      </c>
      <c r="C122" t="inlineStr">
        <is>
          <t>@杨春玉</t>
        </is>
      </c>
      <c r="D122">
        <v>1</v>
      </c>
      <c r="E122"/>
      <c r="F122" t="inlineStr">
        <is>
          <t>@陈佳杰</t>
        </is>
      </c>
      <c r="G122">
        <v>1</v>
      </c>
      <c r="H122"/>
      <c r="I122">
        <v>1</v>
      </c>
      <c r="J122" t="inlineStr">
        <is>
          <t>Check if the dashboard displays completion statistics for each region/country</t>
        </is>
      </c>
      <c r="K122" t="inlineStr">
        <is>
          <t>检查数据面板是否展示各地区/国家的完成统计数据</t>
        </is>
      </c>
      <c r="L122" s="2" t="str">
        <f>=HYPERLINK("http://pre.mgx.dev/chat/3039e39964c946968be3b75697c37f3f", "http://pre.mgx.dev/chat/3039e39964c946968be3b75697c37f3f")</f>
        <v>http://pre.mgx.dev/chat/3039e39964c946968be3b75697c37f3f</v>
      </c>
      <c r="M122" s="2" t="str">
        <f>=HYPERLINK("", "https://45807-3039e39964c946968be3b75697c37f3f-3-latest.app.beta.mgx.dev")</f>
        <v>https://45807-3039e39964c946968be3b75697c37f3f-3-latest.app.beta.mgx.dev</v>
      </c>
      <c r="N122" s="2" t="str">
        <f>=HYPERLINK("mailto:eval_97@auto.com", "eval_97@auto.com")</f>
        <v>eval_97@auto.com</v>
      </c>
      <c r="O122" t="inlineStr">
        <is>
          <t>3039e39964c946968be3b75697c37f3f</t>
        </is>
      </c>
    </row>
    <row r="123" ht="25.5" customHeight="1">
      <c r="A123" t="inlineStr">
        <is>
          <t>CulturePuzzle</t>
        </is>
      </c>
      <c r="B123">
        <v>10</v>
      </c>
      <c r="C123" t="inlineStr">
        <is>
          <t>@杨春玉</t>
        </is>
      </c>
      <c r="D123">
        <v>1</v>
      </c>
      <c r="E123"/>
      <c r="F123" t="inlineStr">
        <is>
          <t>@陈佳杰</t>
        </is>
      </c>
      <c r="G123">
        <v>1</v>
      </c>
      <c r="H123"/>
      <c r="I123">
        <v>2</v>
      </c>
      <c r="J123" t="inlineStr">
        <is>
          <t>Check if the level progression system displays newly unlocked countries/regions</t>
        </is>
      </c>
      <c r="K123" t="inlineStr">
        <is>
          <t>检查等级进阶系统是否展示新解锁的国家/地区</t>
        </is>
      </c>
      <c r="L123" s="2" t="str">
        <f>=HYPERLINK("http://pre.mgx.dev/chat/3039e39964c946968be3b75697c37f3f", "http://pre.mgx.dev/chat/3039e39964c946968be3b75697c37f3f")</f>
        <v>http://pre.mgx.dev/chat/3039e39964c946968be3b75697c37f3f</v>
      </c>
      <c r="M123" s="2" t="str">
        <f>=HYPERLINK("", "https://45807-3039e39964c946968be3b75697c37f3f-3-latest.app.beta.mgx.dev")</f>
        <v>https://45807-3039e39964c946968be3b75697c37f3f-3-latest.app.beta.mgx.dev</v>
      </c>
      <c r="N123" s="2" t="str">
        <f>=HYPERLINK("mailto:eval_97@auto.com", "eval_97@auto.com")</f>
        <v>eval_97@auto.com</v>
      </c>
      <c r="O123" t="inlineStr">
        <is>
          <t>3039e39964c946968be3b75697c37f3f</t>
        </is>
      </c>
    </row>
    <row r="124" ht="25.5" customHeight="1">
      <c r="A124" t="inlineStr">
        <is>
          <t>CulturePuzzle</t>
        </is>
      </c>
      <c r="B124">
        <v>10</v>
      </c>
      <c r="C124" t="inlineStr">
        <is>
          <t>@杨春玉</t>
        </is>
      </c>
      <c r="D124">
        <v>1</v>
      </c>
      <c r="E124"/>
      <c r="F124" t="inlineStr">
        <is>
          <t>@陈佳杰</t>
        </is>
      </c>
      <c r="G124">
        <v>1</v>
      </c>
      <c r="H124"/>
      <c r="I124">
        <v>3</v>
      </c>
      <c r="J124" t="inlineStr">
        <is>
          <t>Check if users can drag and drop puzzle pieces onto the scene</t>
        </is>
      </c>
      <c r="K124" t="inlineStr">
        <is>
          <t>检查用户是否可将拼图块拖放至场景中</t>
        </is>
      </c>
      <c r="L124" s="2" t="str">
        <f>=HYPERLINK("http://pre.mgx.dev/chat/3039e39964c946968be3b75697c37f3f", "http://pre.mgx.dev/chat/3039e39964c946968be3b75697c37f3f")</f>
        <v>http://pre.mgx.dev/chat/3039e39964c946968be3b75697c37f3f</v>
      </c>
      <c r="M124" s="2" t="str">
        <f>=HYPERLINK("", "https://45807-3039e39964c946968be3b75697c37f3f-3-latest.app.beta.mgx.dev")</f>
        <v>https://45807-3039e39964c946968be3b75697c37f3f-3-latest.app.beta.mgx.dev</v>
      </c>
      <c r="N124" s="2" t="str">
        <f>=HYPERLINK("mailto:eval_97@auto.com", "eval_97@auto.com")</f>
        <v>eval_97@auto.com</v>
      </c>
      <c r="O124" t="inlineStr">
        <is>
          <t>3039e39964c946968be3b75697c37f3f</t>
        </is>
      </c>
    </row>
    <row r="125" ht="25.5" customHeight="1">
      <c r="A125" t="inlineStr">
        <is>
          <t>CulturePuzzle</t>
        </is>
      </c>
      <c r="B125">
        <v>10</v>
      </c>
      <c r="C125" t="inlineStr">
        <is>
          <t>@杨春玉</t>
        </is>
      </c>
      <c r="D125">
        <v>1</v>
      </c>
      <c r="E125"/>
      <c r="F125" t="inlineStr">
        <is>
          <t>@陈佳杰</t>
        </is>
      </c>
      <c r="G125">
        <v>1</v>
      </c>
      <c r="H125"/>
      <c r="I125">
        <v>4</v>
      </c>
      <c r="J125" t="inlineStr">
        <is>
          <t>Ensure that incorrectly placed pieces can be moved again</t>
        </is>
      </c>
      <c r="K125" t="inlineStr">
        <is>
          <t>确保放置错误的拼图块可再次移动</t>
        </is>
      </c>
      <c r="L125" s="2" t="str">
        <f>=HYPERLINK("http://pre.mgx.dev/chat/3039e39964c946968be3b75697c37f3f", "http://pre.mgx.dev/chat/3039e39964c946968be3b75697c37f3f")</f>
        <v>http://pre.mgx.dev/chat/3039e39964c946968be3b75697c37f3f</v>
      </c>
      <c r="M125" s="2" t="str">
        <f>=HYPERLINK("", "https://45807-3039e39964c946968be3b75697c37f3f-3-latest.app.beta.mgx.dev")</f>
        <v>https://45807-3039e39964c946968be3b75697c37f3f-3-latest.app.beta.mgx.dev</v>
      </c>
      <c r="N125" s="2" t="str">
        <f>=HYPERLINK("mailto:eval_97@auto.com", "eval_97@auto.com")</f>
        <v>eval_97@auto.com</v>
      </c>
      <c r="O125" t="inlineStr">
        <is>
          <t>3039e39964c946968be3b75697c37f3f</t>
        </is>
      </c>
    </row>
    <row r="126" ht="25.5" customHeight="1">
      <c r="A126" t="inlineStr">
        <is>
          <t>CulturePuzzle</t>
        </is>
      </c>
      <c r="B126">
        <v>10</v>
      </c>
      <c r="C126" t="inlineStr">
        <is>
          <t>@杨春玉</t>
        </is>
      </c>
      <c r="D126">
        <v>1</v>
      </c>
      <c r="E126"/>
      <c r="F126" t="inlineStr">
        <is>
          <t>@陈佳杰</t>
        </is>
      </c>
      <c r="G126">
        <v>1</v>
      </c>
      <c r="H126"/>
      <c r="I126">
        <v>5</v>
      </c>
      <c r="J126" t="inlineStr">
        <is>
          <t>Ensure that the dashboard updates after completing new puzzles</t>
        </is>
      </c>
      <c r="K126" t="inlineStr">
        <is>
          <t>确保完成新拼图后数据面板同步更新</t>
        </is>
      </c>
      <c r="L126" s="2" t="str">
        <f>=HYPERLINK("http://pre.mgx.dev/chat/3039e39964c946968be3b75697c37f3f", "http://pre.mgx.dev/chat/3039e39964c946968be3b75697c37f3f")</f>
        <v>http://pre.mgx.dev/chat/3039e39964c946968be3b75697c37f3f</v>
      </c>
      <c r="M126" s="2" t="str">
        <f>=HYPERLINK("", "https://45807-3039e39964c946968be3b75697c37f3f-3-latest.app.beta.mgx.dev")</f>
        <v>https://45807-3039e39964c946968be3b75697c37f3f-3-latest.app.beta.mgx.dev</v>
      </c>
      <c r="N126" s="2" t="str">
        <f>=HYPERLINK("mailto:eval_97@auto.com", "eval_97@auto.com")</f>
        <v>eval_97@auto.com</v>
      </c>
      <c r="O126" t="inlineStr">
        <is>
          <t>3039e39964c946968be3b75697c37f3f</t>
        </is>
      </c>
    </row>
    <row r="127" ht="25.5" customHeight="1">
      <c r="A127" t="inlineStr">
        <is>
          <t>CulturePuzzle</t>
        </is>
      </c>
      <c r="B127">
        <v>10</v>
      </c>
      <c r="C127" t="inlineStr">
        <is>
          <t>@杨春玉</t>
        </is>
      </c>
      <c r="D127">
        <v>1</v>
      </c>
      <c r="E127"/>
      <c r="F127" t="inlineStr">
        <is>
          <t>@陈佳杰</t>
        </is>
      </c>
      <c r="G127">
        <v>1</v>
      </c>
      <c r="H127"/>
      <c r="I127">
        <v>6</v>
      </c>
      <c r="J127" t="inlineStr">
        <is>
          <t>Ensure that the user cannot access locked levels</t>
        </is>
      </c>
      <c r="K127" t="inlineStr">
        <is>
          <t>确保用户无法访问未解锁的关卡</t>
        </is>
      </c>
      <c r="L127" s="2" t="str">
        <f>=HYPERLINK("http://pre.mgx.dev/chat/3039e39964c946968be3b75697c37f3f", "http://pre.mgx.dev/chat/3039e39964c946968be3b75697c37f3f")</f>
        <v>http://pre.mgx.dev/chat/3039e39964c946968be3b75697c37f3f</v>
      </c>
      <c r="M127" s="2" t="str">
        <f>=HYPERLINK("", "https://45807-3039e39964c946968be3b75697c37f3f-3-latest.app.beta.mgx.dev")</f>
        <v>https://45807-3039e39964c946968be3b75697c37f3f-3-latest.app.beta.mgx.dev</v>
      </c>
      <c r="N127" s="2" t="str">
        <f>=HYPERLINK("mailto:eval_97@auto.com", "eval_97@auto.com")</f>
        <v>eval_97@auto.com</v>
      </c>
      <c r="O127" t="inlineStr">
        <is>
          <t>3039e39964c946968be3b75697c37f3f</t>
        </is>
      </c>
    </row>
    <row r="128" ht="25.5" customHeight="1">
      <c r="A128" t="inlineStr">
        <is>
          <t>CulturePuzzle</t>
        </is>
      </c>
      <c r="B128">
        <v>10</v>
      </c>
      <c r="C128" t="inlineStr">
        <is>
          <t>@杨春玉</t>
        </is>
      </c>
      <c r="D128">
        <v>1</v>
      </c>
      <c r="E128"/>
      <c r="F128" t="inlineStr">
        <is>
          <t>@陈佳杰</t>
        </is>
      </c>
      <c r="G128">
        <v>1</v>
      </c>
      <c r="H128"/>
      <c r="I128">
        <v>7</v>
      </c>
      <c r="J128" t="inlineStr">
        <is>
          <t>Test if puzzle pieces can be moved after being placed on the scene</t>
        </is>
      </c>
      <c r="K128" t="inlineStr">
        <is>
          <t>测试拼图块放置到场景后是否可移动</t>
        </is>
      </c>
      <c r="L128" s="2" t="str">
        <f>=HYPERLINK("http://pre.mgx.dev/chat/3039e39964c946968be3b75697c37f3f", "http://pre.mgx.dev/chat/3039e39964c946968be3b75697c37f3f")</f>
        <v>http://pre.mgx.dev/chat/3039e39964c946968be3b75697c37f3f</v>
      </c>
      <c r="M128" s="2" t="str">
        <f>=HYPERLINK("", "https://45807-3039e39964c946968be3b75697c37f3f-3-latest.app.beta.mgx.dev")</f>
        <v>https://45807-3039e39964c946968be3b75697c37f3f-3-latest.app.beta.mgx.dev</v>
      </c>
      <c r="N128" s="2" t="str">
        <f>=HYPERLINK("mailto:eval_97@auto.com", "eval_97@auto.com")</f>
        <v>eval_97@auto.com</v>
      </c>
      <c r="O128" t="inlineStr">
        <is>
          <t>3039e39964c946968be3b75697c37f3f</t>
        </is>
      </c>
    </row>
    <row r="129" ht="25.5" customHeight="1">
      <c r="A129" t="inlineStr">
        <is>
          <t>CulturePuzzle</t>
        </is>
      </c>
      <c r="B129">
        <v>10</v>
      </c>
      <c r="C129" t="inlineStr">
        <is>
          <t>@杨春玉</t>
        </is>
      </c>
      <c r="D129">
        <v>1</v>
      </c>
      <c r="E129"/>
      <c r="F129" t="inlineStr">
        <is>
          <t>@陈佳杰</t>
        </is>
      </c>
      <c r="G129">
        <v>1</v>
      </c>
      <c r="H129"/>
      <c r="I129">
        <v>8</v>
      </c>
      <c r="J129" t="inlineStr">
        <is>
          <t>Test if the overall game progression percentage is accurately calculated and displayed</t>
        </is>
      </c>
      <c r="K129" t="inlineStr">
        <is>
          <t>测试游戏整体进度百分比是否准确计算并展示</t>
        </is>
      </c>
      <c r="L129" s="2" t="str">
        <f>=HYPERLINK("http://pre.mgx.dev/chat/3039e39964c946968be3b75697c37f3f", "http://pre.mgx.dev/chat/3039e39964c946968be3b75697c37f3f")</f>
        <v>http://pre.mgx.dev/chat/3039e39964c946968be3b75697c37f3f</v>
      </c>
      <c r="M129" s="2" t="str">
        <f>=HYPERLINK("", "https://45807-3039e39964c946968be3b75697c37f3f-3-latest.app.beta.mgx.dev")</f>
        <v>https://45807-3039e39964c946968be3b75697c37f3f-3-latest.app.beta.mgx.dev</v>
      </c>
      <c r="N129" s="2" t="str">
        <f>=HYPERLINK("mailto:eval_97@auto.com", "eval_97@auto.com")</f>
        <v>eval_97@auto.com</v>
      </c>
      <c r="O129" t="inlineStr">
        <is>
          <t>3039e39964c946968be3b75697c37f3f</t>
        </is>
      </c>
    </row>
    <row r="130" ht="25.5" customHeight="1">
      <c r="A130" t="inlineStr">
        <is>
          <t>CulturePuzzle</t>
        </is>
      </c>
      <c r="B130">
        <v>10</v>
      </c>
      <c r="C130" t="inlineStr">
        <is>
          <t>@杨春玉</t>
        </is>
      </c>
      <c r="D130">
        <v>1</v>
      </c>
      <c r="E130"/>
      <c r="F130" t="inlineStr">
        <is>
          <t>@陈佳杰</t>
        </is>
      </c>
      <c r="G130">
        <v>1</v>
      </c>
      <c r="H130"/>
      <c r="I130">
        <v>9</v>
      </c>
      <c r="J130" t="inlineStr">
        <is>
          <t>Test if the puzzle is considered complete when all pieces are correctly placed</t>
        </is>
      </c>
      <c r="K130" t="inlineStr">
        <is>
          <t>测试所有拼图块正确放置后是否判定为拼图完成</t>
        </is>
      </c>
      <c r="L130" s="2" t="str">
        <f>=HYPERLINK("http://pre.mgx.dev/chat/3039e39964c946968be3b75697c37f3f", "http://pre.mgx.dev/chat/3039e39964c946968be3b75697c37f3f")</f>
        <v>http://pre.mgx.dev/chat/3039e39964c946968be3b75697c37f3f</v>
      </c>
      <c r="M130" s="2" t="str">
        <f>=HYPERLINK("", "https://45807-3039e39964c946968be3b75697c37f3f-3-latest.app.beta.mgx.dev")</f>
        <v>https://45807-3039e39964c946968be3b75697c37f3f-3-latest.app.beta.mgx.dev</v>
      </c>
      <c r="N130" s="2" t="str">
        <f>=HYPERLINK("mailto:eval_97@auto.com", "eval_97@auto.com")</f>
        <v>eval_97@auto.com</v>
      </c>
      <c r="O130" t="inlineStr">
        <is>
          <t>3039e39964c946968be3b75697c37f3f</t>
        </is>
      </c>
    </row>
    <row r="131" ht="25.5" customHeight="1">
      <c r="A131" t="inlineStr">
        <is>
          <t>CulturePuzzle</t>
        </is>
      </c>
      <c r="B131">
        <v>10</v>
      </c>
      <c r="C131" t="inlineStr">
        <is>
          <t>@杨春玉</t>
        </is>
      </c>
      <c r="D131">
        <v>1</v>
      </c>
      <c r="E131"/>
      <c r="F131" t="inlineStr">
        <is>
          <t>@陈佳杰</t>
        </is>
      </c>
      <c r="G131">
        <v>1</v>
      </c>
      <c r="H131"/>
      <c r="I131">
        <v>10</v>
      </c>
      <c r="J131" t="inlineStr">
        <is>
          <t>Verify that completing a puzzle unlocks the next level</t>
        </is>
      </c>
      <c r="K131" t="inlineStr">
        <is>
          <t>验证完成拼图可解锁下一关</t>
        </is>
      </c>
      <c r="L131" s="2" t="str">
        <f>=HYPERLINK("http://pre.mgx.dev/chat/3039e39964c946968be3b75697c37f3f", "http://pre.mgx.dev/chat/3039e39964c946968be3b75697c37f3f")</f>
        <v>http://pre.mgx.dev/chat/3039e39964c946968be3b75697c37f3f</v>
      </c>
      <c r="M131" s="2" t="str">
        <f>=HYPERLINK("", "https://45807-3039e39964c946968be3b75697c37f3f-3-latest.app.beta.mgx.dev")</f>
        <v>https://45807-3039e39964c946968be3b75697c37f3f-3-latest.app.beta.mgx.dev</v>
      </c>
      <c r="N131" s="2" t="str">
        <f>=HYPERLINK("mailto:eval_97@auto.com", "eval_97@auto.com")</f>
        <v>eval_97@auto.com</v>
      </c>
      <c r="O131" t="inlineStr">
        <is>
          <t>3039e39964c946968be3b75697c37f3f</t>
        </is>
      </c>
    </row>
    <row r="132" ht="25.5" customHeight="1">
      <c r="A132" t="inlineStr">
        <is>
          <t>CulturePuzzle</t>
        </is>
      </c>
      <c r="B132">
        <v>10</v>
      </c>
      <c r="C132" t="inlineStr">
        <is>
          <t>@杨春玉</t>
        </is>
      </c>
      <c r="D132">
        <v>1</v>
      </c>
      <c r="E132"/>
      <c r="F132" t="inlineStr">
        <is>
          <t>@陈佳杰</t>
        </is>
      </c>
      <c r="G132">
        <v>1</v>
      </c>
      <c r="H132"/>
      <c r="I132">
        <v>11</v>
      </c>
      <c r="J132" t="inlineStr">
        <is>
          <t>Verify that cultural information is displayed after completing a puzzle</t>
        </is>
      </c>
      <c r="K132" t="inlineStr">
        <is>
          <t>验证完成拼图后展示相关文化信息</t>
        </is>
      </c>
      <c r="L132" s="2" t="str">
        <f>=HYPERLINK("http://pre.mgx.dev/chat/3039e39964c946968be3b75697c37f3f", "http://pre.mgx.dev/chat/3039e39964c946968be3b75697c37f3f")</f>
        <v>http://pre.mgx.dev/chat/3039e39964c946968be3b75697c37f3f</v>
      </c>
      <c r="M132" s="2" t="str">
        <f>=HYPERLINK("", "https://45807-3039e39964c946968be3b75697c37f3f-3-latest.app.beta.mgx.dev")</f>
        <v>https://45807-3039e39964c946968be3b75697c37f3f-3-latest.app.beta.mgx.dev</v>
      </c>
      <c r="N132" s="2" t="str">
        <f>=HYPERLINK("mailto:eval_97@auto.com", "eval_97@auto.com")</f>
        <v>eval_97@auto.com</v>
      </c>
      <c r="O132" t="inlineStr">
        <is>
          <t>3039e39964c946968be3b75697c37f3f</t>
        </is>
      </c>
    </row>
    <row r="133" ht="25.5" customHeight="1">
      <c r="A133" t="inlineStr">
        <is>
          <t>CulturePuzzle</t>
        </is>
      </c>
      <c r="B133">
        <v>10</v>
      </c>
      <c r="C133" t="inlineStr">
        <is>
          <t>@杨春玉</t>
        </is>
      </c>
      <c r="D133">
        <v>1</v>
      </c>
      <c r="E133"/>
      <c r="F133" t="inlineStr">
        <is>
          <t>@陈佳杰</t>
        </is>
      </c>
      <c r="G133">
        <v>1</v>
      </c>
      <c r="H133"/>
      <c r="I133">
        <v>12</v>
      </c>
      <c r="J133" t="inlineStr">
        <is>
          <t>Verify that the hint system activates after a period of user inactivity</t>
        </is>
      </c>
      <c r="K133" t="inlineStr">
        <is>
          <t>验证用户长时间无操作后提示系统自动激活</t>
        </is>
      </c>
      <c r="L133" s="2" t="str">
        <f>=HYPERLINK("http://pre.mgx.dev/chat/3039e39964c946968be3b75697c37f3f", "http://pre.mgx.dev/chat/3039e39964c946968be3b75697c37f3f")</f>
        <v>http://pre.mgx.dev/chat/3039e39964c946968be3b75697c37f3f</v>
      </c>
      <c r="M133" s="2" t="str">
        <f>=HYPERLINK("", "https://45807-3039e39964c946968be3b75697c37f3f-3-latest.app.beta.mgx.dev")</f>
        <v>https://45807-3039e39964c946968be3b75697c37f3f-3-latest.app.beta.mgx.dev</v>
      </c>
      <c r="N133" s="2" t="str">
        <f>=HYPERLINK("mailto:eval_97@auto.com", "eval_97@auto.com")</f>
        <v>eval_97@auto.com</v>
      </c>
      <c r="O133" t="inlineStr">
        <is>
          <t>3039e39964c946968be3b75697c37f3f</t>
        </is>
      </c>
    </row>
    <row r="134" ht="25.5" customHeight="1">
      <c r="A134" t="inlineStr">
        <is>
          <t>CulturePuzzle</t>
        </is>
      </c>
      <c r="B134">
        <v>10</v>
      </c>
      <c r="C134" t="inlineStr">
        <is>
          <t>@杨春玉</t>
        </is>
      </c>
      <c r="D134">
        <v>1</v>
      </c>
      <c r="E134"/>
      <c r="F134" t="inlineStr">
        <is>
          <t>@陈佳杰</t>
        </is>
      </c>
      <c r="G134">
        <v>1</v>
      </c>
      <c r="H134"/>
      <c r="I134">
        <v>13</v>
      </c>
      <c r="J134" t="inlineStr">
        <is>
          <t>Verify that the progress tracking dashboard is accessible from the main menu</t>
        </is>
      </c>
      <c r="K134" t="inlineStr">
        <is>
          <t>验证从主菜单可访问进度追踪数据面板</t>
        </is>
      </c>
      <c r="L134" s="2" t="str">
        <f>=HYPERLINK("http://pre.mgx.dev/chat/3039e39964c946968be3b75697c37f3f", "http://pre.mgx.dev/chat/3039e39964c946968be3b75697c37f3f")</f>
        <v>http://pre.mgx.dev/chat/3039e39964c946968be3b75697c37f3f</v>
      </c>
      <c r="M134" s="2" t="str">
        <f>=HYPERLINK("", "https://45807-3039e39964c946968be3b75697c37f3f-3-latest.app.beta.mgx.dev")</f>
        <v>https://45807-3039e39964c946968be3b75697c37f3f-3-latest.app.beta.mgx.dev</v>
      </c>
      <c r="N134" s="2" t="str">
        <f>=HYPERLINK("mailto:eval_97@auto.com", "eval_97@auto.com")</f>
        <v>eval_97@auto.com</v>
      </c>
      <c r="O134" t="inlineStr">
        <is>
          <t>3039e39964c946968be3b75697c37f3f</t>
        </is>
      </c>
    </row>
    <row r="135" ht="25.5" customHeight="1">
      <c r="A135" t="inlineStr">
        <is>
          <t>CulturePuzzle</t>
        </is>
      </c>
      <c r="B135">
        <v>10</v>
      </c>
      <c r="C135" t="inlineStr">
        <is>
          <t>@杨春玉</t>
        </is>
      </c>
      <c r="D135">
        <v>1</v>
      </c>
      <c r="E135"/>
      <c r="F135" t="inlineStr">
        <is>
          <t>@陈佳杰</t>
        </is>
      </c>
      <c r="G135">
        <v>1</v>
      </c>
      <c r="H135"/>
      <c r="I135">
        <v>14</v>
      </c>
      <c r="J135" t="inlineStr">
        <is>
          <t>Verify that the puzzle interface is displayed with draggable cultural elements</t>
        </is>
      </c>
      <c r="K135" t="inlineStr">
        <is>
          <t>验证拼图界面展示可拖拽的文化元素</t>
        </is>
      </c>
      <c r="L135" s="2" t="str">
        <f>=HYPERLINK("http://pre.mgx.dev/chat/3039e39964c946968be3b75697c37f3f", "http://pre.mgx.dev/chat/3039e39964c946968be3b75697c37f3f")</f>
        <v>http://pre.mgx.dev/chat/3039e39964c946968be3b75697c37f3f</v>
      </c>
      <c r="M135" s="2" t="str">
        <f>=HYPERLINK("", "https://45807-3039e39964c946968be3b75697c37f3f-3-latest.app.beta.mgx.dev")</f>
        <v>https://45807-3039e39964c946968be3b75697c37f3f-3-latest.app.beta.mgx.dev</v>
      </c>
      <c r="N135" s="2" t="str">
        <f>=HYPERLINK("mailto:eval_97@auto.com", "eval_97@auto.com")</f>
        <v>eval_97@auto.com</v>
      </c>
      <c r="O135" t="inlineStr">
        <is>
          <t>3039e39964c946968be3b75697c37f3f</t>
        </is>
      </c>
    </row>
    <row r="136" ht="25.5" customHeight="1">
      <c r="A136" t="inlineStr">
        <is>
          <t>Dance Party</t>
        </is>
      </c>
      <c r="B136">
        <v>11</v>
      </c>
      <c r="C136" t="inlineStr">
        <is>
          <t>@杨春玉</t>
        </is>
      </c>
      <c r="D136">
        <v>1</v>
      </c>
      <c r="E136"/>
      <c r="F136" t="inlineStr">
        <is>
          <t>@陈佳杰</t>
        </is>
      </c>
      <c r="G136">
        <v>1</v>
      </c>
      <c r="H136"/>
      <c r="I136">
        <v>1</v>
      </c>
      <c r="J136" t="inlineStr">
        <is>
          <t>Check if all dance style categories (hip-hop, salsa, ballet) are present</t>
        </is>
      </c>
      <c r="K136" t="inlineStr">
        <is>
          <t>检查是否包含所有舞蹈风格分类（嘻哈、萨尔萨、芭蕾）</t>
        </is>
      </c>
      <c r="L136" s="2" t="str">
        <f>=HYPERLINK("http://pre.mgx.dev/chat/d3893fefaeb94a47812bf465f9fce665", "http://pre.mgx.dev/chat/d3893fefaeb94a47812bf465f9fce665")</f>
        <v>http://pre.mgx.dev/chat/d3893fefaeb94a47812bf465f9fce665</v>
      </c>
      <c r="M136" s="2" t="str">
        <f>=HYPERLINK("", "https://45793-d3893fefaeb94a47812bf465f9fce665-3-latest.app.beta.mgx.dev")</f>
        <v>https://45793-d3893fefaeb94a47812bf465f9fce665-3-latest.app.beta.mgx.dev</v>
      </c>
      <c r="N136" s="2" t="str">
        <f>=HYPERLINK("mailto:eval_83@auto.com", "eval_83@auto.com")</f>
        <v>eval_83@auto.com</v>
      </c>
      <c r="O136" t="inlineStr">
        <is>
          <t>d3893fefaeb94a47812bf465f9fce665</t>
        </is>
      </c>
    </row>
    <row r="137" ht="25.5" customHeight="1">
      <c r="A137" t="inlineStr">
        <is>
          <t>Dance Party</t>
        </is>
      </c>
      <c r="B137">
        <v>11</v>
      </c>
      <c r="C137" t="inlineStr">
        <is>
          <t>@杨春玉</t>
        </is>
      </c>
      <c r="D137">
        <v>0</v>
      </c>
      <c r="E137" t="inlineStr">
        <is>
          <t>评分是mock数据</t>
        </is>
      </c>
      <c r="F137" t="inlineStr">
        <is>
          <t>@陈佳杰</t>
        </is>
      </c>
      <c r="G137">
        <v>0</v>
      </c>
      <c r="H137" t="inlineStr">
        <is>
          <t>评分系统的分数是随机生成</t>
        </is>
      </c>
      <c r="I137">
        <v>2</v>
      </c>
      <c r="J137" t="inlineStr">
        <is>
          <t>Check if the scoring system accurately reflects move accuracy and timing</t>
        </is>
      </c>
      <c r="K137" t="inlineStr">
        <is>
          <t>检查评分系统是否准确反映动作准确率和节奏把控</t>
        </is>
      </c>
      <c r="L137" s="2" t="str">
        <f>=HYPERLINK("http://pre.mgx.dev/chat/d3893fefaeb94a47812bf465f9fce665", "http://pre.mgx.dev/chat/d3893fefaeb94a47812bf465f9fce665")</f>
        <v>http://pre.mgx.dev/chat/d3893fefaeb94a47812bf465f9fce665</v>
      </c>
      <c r="M137" s="2" t="str">
        <f>=HYPERLINK("", "https://45793-d3893fefaeb94a47812bf465f9fce665-3-latest.app.beta.mgx.dev")</f>
        <v>https://45793-d3893fefaeb94a47812bf465f9fce665-3-latest.app.beta.mgx.dev</v>
      </c>
      <c r="N137" s="2" t="str">
        <f>=HYPERLINK("mailto:eval_83@auto.com", "eval_83@auto.com")</f>
        <v>eval_83@auto.com</v>
      </c>
      <c r="O137" t="inlineStr">
        <is>
          <t>d3893fefaeb94a47812bf465f9fce665</t>
        </is>
      </c>
    </row>
    <row r="138" ht="25.5" customHeight="1">
      <c r="A138" t="inlineStr">
        <is>
          <t>Dance Party</t>
        </is>
      </c>
      <c r="B138">
        <v>11</v>
      </c>
      <c r="C138" t="inlineStr">
        <is>
          <t>@杨春玉</t>
        </is>
      </c>
      <c r="D138">
        <v>1</v>
      </c>
      <c r="E138"/>
      <c r="F138" t="inlineStr">
        <is>
          <t>@陈佳杰</t>
        </is>
      </c>
      <c r="G138">
        <v>1</v>
      </c>
      <c r="H138"/>
      <c r="I138">
        <v>3</v>
      </c>
      <c r="J138" t="inlineStr">
        <is>
          <t>Confirm that the interactive tutorial system is accessible</t>
        </is>
      </c>
      <c r="K138" t="inlineStr">
        <is>
          <t>确认交互式教程系统可访问</t>
        </is>
      </c>
      <c r="L138" s="2" t="str">
        <f>=HYPERLINK("http://pre.mgx.dev/chat/d3893fefaeb94a47812bf465f9fce665", "http://pre.mgx.dev/chat/d3893fefaeb94a47812bf465f9fce665")</f>
        <v>http://pre.mgx.dev/chat/d3893fefaeb94a47812bf465f9fce665</v>
      </c>
      <c r="M138" s="2" t="str">
        <f>=HYPERLINK("", "https://45793-d3893fefaeb94a47812bf465f9fce665-3-latest.app.beta.mgx.dev")</f>
        <v>https://45793-d3893fefaeb94a47812bf465f9fce665-3-latest.app.beta.mgx.dev</v>
      </c>
      <c r="N138" s="2" t="str">
        <f>=HYPERLINK("mailto:eval_83@auto.com", "eval_83@auto.com")</f>
        <v>eval_83@auto.com</v>
      </c>
      <c r="O138" t="inlineStr">
        <is>
          <t>d3893fefaeb94a47812bf465f9fce665</t>
        </is>
      </c>
    </row>
    <row r="139" ht="25.5" customHeight="1">
      <c r="A139" t="inlineStr">
        <is>
          <t>Dance Party</t>
        </is>
      </c>
      <c r="B139">
        <v>11</v>
      </c>
      <c r="C139" t="inlineStr">
        <is>
          <t>@杨春玉</t>
        </is>
      </c>
      <c r="D139">
        <v>1</v>
      </c>
      <c r="E139"/>
      <c r="F139" t="inlineStr">
        <is>
          <t>@陈佳杰</t>
        </is>
      </c>
      <c r="G139">
        <v>1</v>
      </c>
      <c r="H139"/>
      <c r="I139">
        <v>4</v>
      </c>
      <c r="J139" t="inlineStr">
        <is>
          <t>Ensure that timing indicators are present and functioning correctly</t>
        </is>
      </c>
      <c r="K139" t="inlineStr">
        <is>
          <t>确保节奏指示器存在且正常工作</t>
        </is>
      </c>
      <c r="L139" s="2" t="str">
        <f>=HYPERLINK("http://pre.mgx.dev/chat/d3893fefaeb94a47812bf465f9fce665", "http://pre.mgx.dev/chat/d3893fefaeb94a47812bf465f9fce665")</f>
        <v>http://pre.mgx.dev/chat/d3893fefaeb94a47812bf465f9fce665</v>
      </c>
      <c r="M139" s="2" t="str">
        <f>=HYPERLINK("", "https://45793-d3893fefaeb94a47812bf465f9fce665-3-latest.app.beta.mgx.dev")</f>
        <v>https://45793-d3893fefaeb94a47812bf465f9fce665-3-latest.app.beta.mgx.dev</v>
      </c>
      <c r="N139" s="2" t="str">
        <f>=HYPERLINK("mailto:eval_83@auto.com", "eval_83@auto.com")</f>
        <v>eval_83@auto.com</v>
      </c>
      <c r="O139" t="inlineStr">
        <is>
          <t>d3893fefaeb94a47812bf465f9fce665</t>
        </is>
      </c>
    </row>
    <row r="140" ht="25.5" customHeight="1">
      <c r="A140" t="inlineStr">
        <is>
          <t>Dance Party</t>
        </is>
      </c>
      <c r="B140">
        <v>11</v>
      </c>
      <c r="C140" t="inlineStr">
        <is>
          <t>@杨春玉</t>
        </is>
      </c>
      <c r="D140">
        <v>1</v>
      </c>
      <c r="E140"/>
      <c r="F140" t="inlineStr">
        <is>
          <t>@陈佳杰</t>
        </is>
      </c>
      <c r="G140">
        <v>1</v>
      </c>
      <c r="H140"/>
      <c r="I140">
        <v>5</v>
      </c>
      <c r="J140" t="inlineStr">
        <is>
          <t>Test the pause button functionality</t>
        </is>
      </c>
      <c r="K140" t="inlineStr">
        <is>
          <t>测试暂停按钮功能</t>
        </is>
      </c>
      <c r="L140" s="2" t="str">
        <f>=HYPERLINK("http://pre.mgx.dev/chat/d3893fefaeb94a47812bf465f9fce665", "http://pre.mgx.dev/chat/d3893fefaeb94a47812bf465f9fce665")</f>
        <v>http://pre.mgx.dev/chat/d3893fefaeb94a47812bf465f9fce665</v>
      </c>
      <c r="M140" s="2" t="str">
        <f>=HYPERLINK("", "https://45793-d3893fefaeb94a47812bf465f9fce665-3-latest.app.beta.mgx.dev")</f>
        <v>https://45793-d3893fefaeb94a47812bf465f9fce665-3-latest.app.beta.mgx.dev</v>
      </c>
      <c r="N140" s="2" t="str">
        <f>=HYPERLINK("mailto:eval_83@auto.com", "eval_83@auto.com")</f>
        <v>eval_83@auto.com</v>
      </c>
      <c r="O140" t="inlineStr">
        <is>
          <t>d3893fefaeb94a47812bf465f9fce665</t>
        </is>
      </c>
    </row>
    <row r="141" ht="25.5" customHeight="1">
      <c r="A141" t="inlineStr">
        <is>
          <t>Dance Party</t>
        </is>
      </c>
      <c r="B141">
        <v>11</v>
      </c>
      <c r="C141" t="inlineStr">
        <is>
          <t>@杨春玉</t>
        </is>
      </c>
      <c r="D141">
        <v>1</v>
      </c>
      <c r="E141"/>
      <c r="F141" t="inlineStr">
        <is>
          <t>@陈佳杰</t>
        </is>
      </c>
      <c r="G141">
        <v>1</v>
      </c>
      <c r="H141"/>
      <c r="I141">
        <v>6</v>
      </c>
      <c r="J141" t="inlineStr">
        <is>
          <t>Test the play button functionality</t>
        </is>
      </c>
      <c r="K141" t="inlineStr">
        <is>
          <t>测试播放按钮功能</t>
        </is>
      </c>
      <c r="L141" s="2" t="str">
        <f>=HYPERLINK("http://pre.mgx.dev/chat/d3893fefaeb94a47812bf465f9fce665", "http://pre.mgx.dev/chat/d3893fefaeb94a47812bf465f9fce665")</f>
        <v>http://pre.mgx.dev/chat/d3893fefaeb94a47812bf465f9fce665</v>
      </c>
      <c r="M141" s="2" t="str">
        <f>=HYPERLINK("", "https://45793-d3893fefaeb94a47812bf465f9fce665-3-latest.app.beta.mgx.dev")</f>
        <v>https://45793-d3893fefaeb94a47812bf465f9fce665-3-latest.app.beta.mgx.dev</v>
      </c>
      <c r="N141" s="2" t="str">
        <f>=HYPERLINK("mailto:eval_83@auto.com", "eval_83@auto.com")</f>
        <v>eval_83@auto.com</v>
      </c>
      <c r="O141" t="inlineStr">
        <is>
          <t>d3893fefaeb94a47812bf465f9fce665</t>
        </is>
      </c>
    </row>
    <row r="142" ht="25.5" customHeight="1">
      <c r="A142" t="inlineStr">
        <is>
          <t>Dance Party</t>
        </is>
      </c>
      <c r="B142">
        <v>11</v>
      </c>
      <c r="C142" t="inlineStr">
        <is>
          <t>@杨春玉</t>
        </is>
      </c>
      <c r="D142">
        <v>1</v>
      </c>
      <c r="E142"/>
      <c r="F142" t="inlineStr">
        <is>
          <t>@陈佳杰</t>
        </is>
      </c>
      <c r="G142">
        <v>1</v>
      </c>
      <c r="H142"/>
      <c r="I142">
        <v>7</v>
      </c>
      <c r="J142" t="inlineStr">
        <is>
          <t>Test the selection functionality by clicking on different dance styles</t>
        </is>
      </c>
      <c r="K142" t="inlineStr">
        <is>
          <t>测试点击不同舞蹈风格的选择功能</t>
        </is>
      </c>
      <c r="L142" s="2" t="str">
        <f>=HYPERLINK("http://pre.mgx.dev/chat/d3893fefaeb94a47812bf465f9fce665", "http://pre.mgx.dev/chat/d3893fefaeb94a47812bf465f9fce665")</f>
        <v>http://pre.mgx.dev/chat/d3893fefaeb94a47812bf465f9fce665</v>
      </c>
      <c r="M142" s="2" t="str">
        <f>=HYPERLINK("", "https://45793-d3893fefaeb94a47812bf465f9fce665-3-latest.app.beta.mgx.dev")</f>
        <v>https://45793-d3893fefaeb94a47812bf465f9fce665-3-latest.app.beta.mgx.dev</v>
      </c>
      <c r="N142" s="2" t="str">
        <f>=HYPERLINK("mailto:eval_83@auto.com", "eval_83@auto.com")</f>
        <v>eval_83@auto.com</v>
      </c>
      <c r="O142" t="inlineStr">
        <is>
          <t>d3893fefaeb94a47812bf465f9fce665</t>
        </is>
      </c>
    </row>
    <row r="143" ht="25.5" customHeight="1">
      <c r="A143" t="inlineStr">
        <is>
          <t>Dance Party</t>
        </is>
      </c>
      <c r="B143">
        <v>11</v>
      </c>
      <c r="C143" t="inlineStr">
        <is>
          <t>@杨春玉</t>
        </is>
      </c>
      <c r="D143">
        <v>0</v>
      </c>
      <c r="E143" t="inlineStr">
        <is>
          <t>没有声音</t>
        </is>
      </c>
      <c r="F143" t="inlineStr">
        <is>
          <t>@陈佳杰</t>
        </is>
      </c>
      <c r="G143">
        <v>0</v>
      </c>
      <c r="H143" t="inlineStr">
        <is>
          <t>音量键存在，但实际音乐是没有声音，无法验证</t>
        </is>
      </c>
      <c r="I143">
        <v>8</v>
      </c>
      <c r="J143" t="inlineStr">
        <is>
          <t>Test the volume control to ensure it adjusts the music volume</t>
        </is>
      </c>
      <c r="K143" t="inlineStr">
        <is>
          <t>测试音量控制是否可调节音乐音量</t>
        </is>
      </c>
      <c r="L143" s="2" t="str">
        <f>=HYPERLINK("http://pre.mgx.dev/chat/d3893fefaeb94a47812bf465f9fce665", "http://pre.mgx.dev/chat/d3893fefaeb94a47812bf465f9fce665")</f>
        <v>http://pre.mgx.dev/chat/d3893fefaeb94a47812bf465f9fce665</v>
      </c>
      <c r="M143" s="2" t="str">
        <f>=HYPERLINK("", "https://45793-d3893fefaeb94a47812bf465f9fce665-3-latest.app.beta.mgx.dev")</f>
        <v>https://45793-d3893fefaeb94a47812bf465f9fce665-3-latest.app.beta.mgx.dev</v>
      </c>
      <c r="N143" s="2" t="str">
        <f>=HYPERLINK("mailto:eval_83@auto.com", "eval_83@auto.com")</f>
        <v>eval_83@auto.com</v>
      </c>
      <c r="O143" t="inlineStr">
        <is>
          <t>d3893fefaeb94a47812bf465f9fce665</t>
        </is>
      </c>
    </row>
    <row r="144" ht="25.5" customHeight="1">
      <c r="A144" t="inlineStr">
        <is>
          <t>Dance Party</t>
        </is>
      </c>
      <c r="B144">
        <v>11</v>
      </c>
      <c r="C144" t="inlineStr">
        <is>
          <t>@杨春玉</t>
        </is>
      </c>
      <c r="D144">
        <v>1</v>
      </c>
      <c r="E144"/>
      <c r="F144" t="inlineStr">
        <is>
          <t>@陈佳杰</t>
        </is>
      </c>
      <c r="G144">
        <v>1</v>
      </c>
      <c r="H144"/>
      <c r="I144">
        <v>9</v>
      </c>
      <c r="J144" t="inlineStr">
        <is>
          <t>Verify that step-by-step dance move instructions are displayed</t>
        </is>
      </c>
      <c r="K144" t="inlineStr">
        <is>
          <t>验证展示分步舞蹈动作指导</t>
        </is>
      </c>
      <c r="L144" s="2" t="str">
        <f>=HYPERLINK("http://pre.mgx.dev/chat/d3893fefaeb94a47812bf465f9fce665", "http://pre.mgx.dev/chat/d3893fefaeb94a47812bf465f9fce665")</f>
        <v>http://pre.mgx.dev/chat/d3893fefaeb94a47812bf465f9fce665</v>
      </c>
      <c r="M144" s="2" t="str">
        <f>=HYPERLINK("", "https://45793-d3893fefaeb94a47812bf465f9fce665-3-latest.app.beta.mgx.dev")</f>
        <v>https://45793-d3893fefaeb94a47812bf465f9fce665-3-latest.app.beta.mgx.dev</v>
      </c>
      <c r="N144" s="2" t="str">
        <f>=HYPERLINK("mailto:eval_83@auto.com", "eval_83@auto.com")</f>
        <v>eval_83@auto.com</v>
      </c>
      <c r="O144" t="inlineStr">
        <is>
          <t>d3893fefaeb94a47812bf465f9fce665</t>
        </is>
      </c>
    </row>
    <row r="145" ht="25.5" customHeight="1">
      <c r="A145" t="inlineStr">
        <is>
          <t>Dance Party</t>
        </is>
      </c>
      <c r="B145">
        <v>11</v>
      </c>
      <c r="C145" t="inlineStr">
        <is>
          <t>@杨春玉</t>
        </is>
      </c>
      <c r="D145">
        <v>1</v>
      </c>
      <c r="E145"/>
      <c r="F145" t="inlineStr">
        <is>
          <t>@陈佳杰</t>
        </is>
      </c>
      <c r="G145">
        <v>1</v>
      </c>
      <c r="H145"/>
      <c r="I145">
        <v>10</v>
      </c>
      <c r="J145" t="inlineStr">
        <is>
          <t>Verify that the dance style selection interface is displayed on the webpage</t>
        </is>
      </c>
      <c r="K145" t="inlineStr">
        <is>
          <t>验证网页上展示舞蹈风格选择界面</t>
        </is>
      </c>
      <c r="L145" s="2" t="str">
        <f>=HYPERLINK("http://pre.mgx.dev/chat/d3893fefaeb94a47812bf465f9fce665", "http://pre.mgx.dev/chat/d3893fefaeb94a47812bf465f9fce665")</f>
        <v>http://pre.mgx.dev/chat/d3893fefaeb94a47812bf465f9fce665</v>
      </c>
      <c r="M145" s="2" t="str">
        <f>=HYPERLINK("", "https://45793-d3893fefaeb94a47812bf465f9fce665-3-latest.app.beta.mgx.dev")</f>
        <v>https://45793-d3893fefaeb94a47812bf465f9fce665-3-latest.app.beta.mgx.dev</v>
      </c>
      <c r="N145" s="2" t="str">
        <f>=HYPERLINK("mailto:eval_83@auto.com", "eval_83@auto.com")</f>
        <v>eval_83@auto.com</v>
      </c>
      <c r="O145" t="inlineStr">
        <is>
          <t>d3893fefaeb94a47812bf465f9fce665</t>
        </is>
      </c>
    </row>
    <row r="146" ht="25.5" customHeight="1">
      <c r="A146" t="inlineStr">
        <is>
          <t>Dance Party</t>
        </is>
      </c>
      <c r="B146">
        <v>11</v>
      </c>
      <c r="C146" t="inlineStr">
        <is>
          <t>@杨春玉</t>
        </is>
      </c>
      <c r="D146">
        <v>1</v>
      </c>
      <c r="E146"/>
      <c r="F146" t="inlineStr">
        <is>
          <t>@陈佳杰</t>
        </is>
      </c>
      <c r="G146">
        <v>1</v>
      </c>
      <c r="H146"/>
      <c r="I146">
        <v>11</v>
      </c>
      <c r="J146" t="inlineStr">
        <is>
          <t>Verify that the skip function works correctly</t>
        </is>
      </c>
      <c r="K146" t="inlineStr">
        <is>
          <t>验证跳过功能正常生效</t>
        </is>
      </c>
      <c r="L146" s="2" t="str">
        <f>=HYPERLINK("http://pre.mgx.dev/chat/d3893fefaeb94a47812bf465f9fce665", "http://pre.mgx.dev/chat/d3893fefaeb94a47812bf465f9fce665")</f>
        <v>http://pre.mgx.dev/chat/d3893fefaeb94a47812bf465f9fce665</v>
      </c>
      <c r="M146" s="2" t="str">
        <f>=HYPERLINK("", "https://45793-d3893fefaeb94a47812bf465f9fce665-3-latest.app.beta.mgx.dev")</f>
        <v>https://45793-d3893fefaeb94a47812bf465f9fce665-3-latest.app.beta.mgx.dev</v>
      </c>
      <c r="N146" s="2" t="str">
        <f>=HYPERLINK("mailto:eval_83@auto.com", "eval_83@auto.com")</f>
        <v>eval_83@auto.com</v>
      </c>
      <c r="O146" t="inlineStr">
        <is>
          <t>d3893fefaeb94a47812bf465f9fce665</t>
        </is>
      </c>
    </row>
    <row r="147" ht="25.5" customHeight="1">
      <c r="A147" t="inlineStr">
        <is>
          <t>Digital Art Gallery</t>
        </is>
      </c>
      <c r="B147">
        <v>12</v>
      </c>
      <c r="C147" t="inlineStr">
        <is>
          <t>@杨春玉</t>
        </is>
      </c>
      <c r="D147">
        <v>0</v>
      </c>
      <c r="E147" t="inlineStr">
        <is>
          <t>评论失败</t>
        </is>
      </c>
      <c r="F147" t="inlineStr">
        <is>
          <t>@陈佳杰</t>
        </is>
      </c>
      <c r="G147">
        <v>0</v>
      </c>
      <c r="H147" t="inlineStr">
        <is>
          <t>接口报错422，缺少入参</t>
        </is>
      </c>
      <c r="I147">
        <v>1</v>
      </c>
      <c r="J147" t="inlineStr">
        <is>
          <t>Attempt to post a comment and verify that it appears on the message board</t>
        </is>
      </c>
      <c r="K147" t="inlineStr">
        <is>
          <t>尝试发布评论并验证评论显示在留言板上</t>
        </is>
      </c>
      <c r="L147" s="2" t="str">
        <f>=HYPERLINK("https://atoms.dev/chat/5461f0b9d820422ebdb36a12a2861905", "https://atoms.dev/chat/5461f0b9d820422ebdb36a12a2861905")</f>
        <v>https://atoms.dev/chat/5461f0b9d820422ebdb36a12a2861905</v>
      </c>
      <c r="M147" s="2" t="str">
        <f>=HYPERLINK("https://890131-bb693bf9621e441fa7c400f839912742-latest-dev.dev.atoms.dev/", "https://890131-bb693bf9621e441fa7c400f839912742-latest-dev.dev.atoms.dev/")</f>
        <v>https://890131-bb693bf9621e441fa7c400f839912742-latest-dev.dev.atoms.dev/</v>
      </c>
      <c r="N147" s="2" t="str">
        <f>=HYPERLINK("http://press_test9@mgx.dev", "press_test9@mgx.dev")</f>
        <v>press_test9@mgx.dev</v>
      </c>
      <c r="O147" t="inlineStr">
        <is>
          <t>bb693bf9621e441fa7c400f839912742</t>
        </is>
      </c>
    </row>
    <row r="148" ht="25.5" customHeight="1">
      <c r="A148" t="inlineStr">
        <is>
          <t>Digital Art Gallery</t>
        </is>
      </c>
      <c r="B148">
        <v>12</v>
      </c>
      <c r="C148" t="inlineStr">
        <is>
          <t>@杨春玉</t>
        </is>
      </c>
      <c r="D148">
        <v>1</v>
      </c>
      <c r="E148"/>
      <c r="F148" t="inlineStr">
        <is>
          <t>@陈佳杰</t>
        </is>
      </c>
      <c r="G148">
        <v>1</v>
      </c>
      <c r="H148"/>
      <c r="I148">
        <v>2</v>
      </c>
      <c r="J148" t="inlineStr">
        <is>
          <t>Check if the artwork's description and creation process are present on the detail page</t>
        </is>
      </c>
      <c r="K148" t="inlineStr">
        <is>
          <t>检查作品详情页是否展示作品描述和创作过程</t>
        </is>
      </c>
      <c r="L148" s="2" t="str">
        <f>=HYPERLINK("https://atoms.dev/chat/5461f0b9d820422ebdb36a12a2861905", "https://atoms.dev/chat/5461f0b9d820422ebdb36a12a2861905")</f>
        <v>https://atoms.dev/chat/5461f0b9d820422ebdb36a12a2861905</v>
      </c>
      <c r="M148" s="2" t="str">
        <f>=HYPERLINK("https://890131-bb693bf9621e441fa7c400f839912742-latest-dev.dev.atoms.dev/", "https://890131-bb693bf9621e441fa7c400f839912742-latest-dev.dev.atoms.dev/")</f>
        <v>https://890131-bb693bf9621e441fa7c400f839912742-latest-dev.dev.atoms.dev/</v>
      </c>
      <c r="N148" s="2" t="str">
        <f>=HYPERLINK("http://press_test9@mgx.dev", "press_test9@mgx.dev")</f>
        <v>press_test9@mgx.dev</v>
      </c>
      <c r="O148" t="inlineStr">
        <is>
          <t>bb693bf9621e441fa7c400f839912742</t>
        </is>
      </c>
    </row>
    <row r="149" ht="25.5" customHeight="1">
      <c r="A149" t="inlineStr">
        <is>
          <t>Digital Art Gallery</t>
        </is>
      </c>
      <c r="B149">
        <v>12</v>
      </c>
      <c r="C149" t="inlineStr">
        <is>
          <t>@杨春玉</t>
        </is>
      </c>
      <c r="D149">
        <v>1</v>
      </c>
      <c r="E149"/>
      <c r="F149" t="inlineStr">
        <is>
          <t>@陈佳杰</t>
        </is>
      </c>
      <c r="G149">
        <v>0</v>
      </c>
      <c r="H149" t="inlineStr">
        <is>
          <t>无法发送评论该功能无法验证</t>
        </is>
      </c>
      <c r="I149">
        <v>3</v>
      </c>
      <c r="J149" t="inlineStr">
        <is>
          <t>Check if the comment includes a timestamp and user identification</t>
        </is>
      </c>
      <c r="K149" t="inlineStr">
        <is>
          <t>检查评论是否包含时间戳和用户标识</t>
        </is>
      </c>
      <c r="L149" s="2" t="str">
        <f>=HYPERLINK("https://atoms.dev/chat/5461f0b9d820422ebdb36a12a2861905", "https://atoms.dev/chat/5461f0b9d820422ebdb36a12a2861905")</f>
        <v>https://atoms.dev/chat/5461f0b9d820422ebdb36a12a2861905</v>
      </c>
      <c r="M149" s="2" t="str">
        <f>=HYPERLINK("https://890131-bb693bf9621e441fa7c400f839912742-latest-dev.dev.atoms.dev/", "https://890131-bb693bf9621e441fa7c400f839912742-latest-dev.dev.atoms.dev/")</f>
        <v>https://890131-bb693bf9621e441fa7c400f839912742-latest-dev.dev.atoms.dev/</v>
      </c>
      <c r="N149" s="2" t="str">
        <f>=HYPERLINK("http://press_test9@mgx.dev", "press_test9@mgx.dev")</f>
        <v>press_test9@mgx.dev</v>
      </c>
      <c r="O149" t="inlineStr">
        <is>
          <t>bb693bf9621e441fa7c400f839912742</t>
        </is>
      </c>
    </row>
    <row r="150" ht="25.5" customHeight="1">
      <c r="A150" t="inlineStr">
        <is>
          <t>Digital Art Gallery</t>
        </is>
      </c>
      <c r="B150">
        <v>12</v>
      </c>
      <c r="C150" t="inlineStr">
        <is>
          <t>@杨春玉</t>
        </is>
      </c>
      <c r="D150">
        <v>1</v>
      </c>
      <c r="E150"/>
      <c r="F150" t="inlineStr">
        <is>
          <t>@陈佳杰</t>
        </is>
      </c>
      <c r="G150">
        <v>1</v>
      </c>
      <c r="H150"/>
      <c r="I150">
        <v>4</v>
      </c>
      <c r="J150" t="inlineStr">
        <is>
          <t>Click on an artwork thumbnail and verify that it leads to the artwork's detail page</t>
        </is>
      </c>
      <c r="K150" t="inlineStr">
        <is>
          <t>点击作品缩略图并验证跳转至该作品的详情页</t>
        </is>
      </c>
      <c r="L150" s="2" t="str">
        <f>=HYPERLINK("https://atoms.dev/chat/5461f0b9d820422ebdb36a12a2861905", "https://atoms.dev/chat/5461f0b9d820422ebdb36a12a2861905")</f>
        <v>https://atoms.dev/chat/5461f0b9d820422ebdb36a12a2861905</v>
      </c>
      <c r="M150" s="2" t="str">
        <f>=HYPERLINK("https://890131-bb693bf9621e441fa7c400f839912742-latest-dev.dev.atoms.dev/", "https://890131-bb693bf9621e441fa7c400f839912742-latest-dev.dev.atoms.dev/")</f>
        <v>https://890131-bb693bf9621e441fa7c400f839912742-latest-dev.dev.atoms.dev/</v>
      </c>
      <c r="N150" s="2" t="str">
        <f>=HYPERLINK("http://press_test9@mgx.dev", "press_test9@mgx.dev")</f>
        <v>press_test9@mgx.dev</v>
      </c>
      <c r="O150" t="inlineStr">
        <is>
          <t>bb693bf9621e441fa7c400f839912742</t>
        </is>
      </c>
    </row>
    <row r="151" ht="25.5" customHeight="1">
      <c r="A151" t="inlineStr">
        <is>
          <t>Digital Art Gallery</t>
        </is>
      </c>
      <c r="B151">
        <v>12</v>
      </c>
      <c r="C151" t="inlineStr">
        <is>
          <t>@杨春玉</t>
        </is>
      </c>
      <c r="D151">
        <v>1</v>
      </c>
      <c r="E151"/>
      <c r="F151" t="inlineStr">
        <is>
          <t>@陈佳杰</t>
        </is>
      </c>
      <c r="G151">
        <v>1</v>
      </c>
      <c r="H151"/>
      <c r="I151">
        <v>5</v>
      </c>
      <c r="J151" t="inlineStr">
        <is>
          <t>Deselect the category and confirm that all artworks are shown again</t>
        </is>
      </c>
      <c r="K151" t="inlineStr">
        <is>
          <t>取消选择分类并确认重新展示所有作品</t>
        </is>
      </c>
      <c r="L151" s="2" t="str">
        <f>=HYPERLINK("https://atoms.dev/chat/5461f0b9d820422ebdb36a12a2861905", "https://atoms.dev/chat/5461f0b9d820422ebdb36a12a2861905")</f>
        <v>https://atoms.dev/chat/5461f0b9d820422ebdb36a12a2861905</v>
      </c>
      <c r="M151" s="2" t="str">
        <f>=HYPERLINK("https://890131-bb693bf9621e441fa7c400f839912742-latest-dev.dev.atoms.dev/", "https://890131-bb693bf9621e441fa7c400f839912742-latest-dev.dev.atoms.dev/")</f>
        <v>https://890131-bb693bf9621e441fa7c400f839912742-latest-dev.dev.atoms.dev/</v>
      </c>
      <c r="N151" s="2" t="str">
        <f>=HYPERLINK("http://press_test9@mgx.dev", "press_test9@mgx.dev")</f>
        <v>press_test9@mgx.dev</v>
      </c>
      <c r="O151" t="inlineStr">
        <is>
          <t>bb693bf9621e441fa7c400f839912742</t>
        </is>
      </c>
    </row>
    <row r="152" ht="25.5" customHeight="1">
      <c r="A152" t="inlineStr">
        <is>
          <t>Digital Art Gallery</t>
        </is>
      </c>
      <c r="B152">
        <v>12</v>
      </c>
      <c r="C152" t="inlineStr">
        <is>
          <t>@杨春玉</t>
        </is>
      </c>
      <c r="D152">
        <v>0</v>
      </c>
      <c r="E152" t="inlineStr">
        <is>
          <t>图裂</t>
        </is>
      </c>
      <c r="F152" t="inlineStr">
        <is>
          <t>@陈佳杰</t>
        </is>
      </c>
      <c r="G152">
        <v>0</v>
      </c>
      <c r="H152" t="inlineStr">
        <is>
          <t>作品的缩略图展示图裂</t>
        </is>
      </c>
      <c r="I152">
        <v>6</v>
      </c>
      <c r="J152" t="inlineStr">
        <is>
          <t>Ensure that all artwork thumbnails are visible and loaded correctly</t>
        </is>
      </c>
      <c r="K152" t="inlineStr">
        <is>
          <t>确保所有作品缩略图可见且正确加载</t>
        </is>
      </c>
      <c r="L152" s="2" t="str">
        <f>=HYPERLINK("https://atoms.dev/chat/5461f0b9d820422ebdb36a12a2861905", "https://atoms.dev/chat/5461f0b9d820422ebdb36a12a2861905")</f>
        <v>https://atoms.dev/chat/5461f0b9d820422ebdb36a12a2861905</v>
      </c>
      <c r="M152" s="2" t="str">
        <f>=HYPERLINK("https://890131-bb693bf9621e441fa7c400f839912742-latest-dev.dev.atoms.dev/", "https://890131-bb693bf9621e441fa7c400f839912742-latest-dev.dev.atoms.dev/")</f>
        <v>https://890131-bb693bf9621e441fa7c400f839912742-latest-dev.dev.atoms.dev/</v>
      </c>
      <c r="N152" s="2" t="str">
        <f>=HYPERLINK("http://press_test9@mgx.dev", "press_test9@mgx.dev")</f>
        <v>press_test9@mgx.dev</v>
      </c>
      <c r="O152" t="inlineStr">
        <is>
          <t>bb693bf9621e441fa7c400f839912742</t>
        </is>
      </c>
    </row>
    <row r="153" ht="25.5" customHeight="1">
      <c r="A153" t="inlineStr">
        <is>
          <t>Digital Art Gallery</t>
        </is>
      </c>
      <c r="B153">
        <v>12</v>
      </c>
      <c r="C153" t="inlineStr">
        <is>
          <t>@杨春玉</t>
        </is>
      </c>
      <c r="D153">
        <v>1</v>
      </c>
      <c r="E153"/>
      <c r="F153" t="inlineStr">
        <is>
          <t>@陈佳杰</t>
        </is>
      </c>
      <c r="G153">
        <v>1</v>
      </c>
      <c r="H153"/>
      <c r="I153">
        <v>7</v>
      </c>
      <c r="J153" t="inlineStr">
        <is>
          <t>Locate and click on the category filter option</t>
        </is>
      </c>
      <c r="K153" t="inlineStr">
        <is>
          <t>找到并点击分类筛选选项</t>
        </is>
      </c>
      <c r="L153" s="2" t="str">
        <f>=HYPERLINK("https://atoms.dev/chat/5461f0b9d820422ebdb36a12a2861905", "https://atoms.dev/chat/5461f0b9d820422ebdb36a12a2861905")</f>
        <v>https://atoms.dev/chat/5461f0b9d820422ebdb36a12a2861905</v>
      </c>
      <c r="M153" s="2" t="str">
        <f>=HYPERLINK("https://890131-bb693bf9621e441fa7c400f839912742-latest-dev.dev.atoms.dev/", "https://890131-bb693bf9621e441fa7c400f839912742-latest-dev.dev.atoms.dev/")</f>
        <v>https://890131-bb693bf9621e441fa7c400f839912742-latest-dev.dev.atoms.dev/</v>
      </c>
      <c r="N153" s="2" t="str">
        <f>=HYPERLINK("http://press_test9@mgx.dev", "press_test9@mgx.dev")</f>
        <v>press_test9@mgx.dev</v>
      </c>
      <c r="O153" t="inlineStr">
        <is>
          <t>bb693bf9621e441fa7c400f839912742</t>
        </is>
      </c>
    </row>
    <row r="154" ht="25.5" customHeight="1">
      <c r="A154" t="inlineStr">
        <is>
          <t>Digital Art Gallery</t>
        </is>
      </c>
      <c r="B154">
        <v>12</v>
      </c>
      <c r="C154" t="inlineStr">
        <is>
          <t>@杨春玉</t>
        </is>
      </c>
      <c r="D154">
        <v>1</v>
      </c>
      <c r="E154"/>
      <c r="F154" t="inlineStr">
        <is>
          <t>@陈佳杰</t>
        </is>
      </c>
      <c r="G154">
        <v>1</v>
      </c>
      <c r="H154"/>
      <c r="I154">
        <v>8</v>
      </c>
      <c r="J154" t="inlineStr">
        <is>
          <t>Locate social sharing buttons on the artwork detail page</t>
        </is>
      </c>
      <c r="K154" t="inlineStr">
        <is>
          <t>在作品详情页找到社交分享按钮</t>
        </is>
      </c>
      <c r="L154" s="2" t="str">
        <f>=HYPERLINK("https://atoms.dev/chat/5461f0b9d820422ebdb36a12a2861905", "https://atoms.dev/chat/5461f0b9d820422ebdb36a12a2861905")</f>
        <v>https://atoms.dev/chat/5461f0b9d820422ebdb36a12a2861905</v>
      </c>
      <c r="M154" s="2" t="str">
        <f>=HYPERLINK("https://890131-bb693bf9621e441fa7c400f839912742-latest-dev.dev.atoms.dev/", "https://890131-bb693bf9621e441fa7c400f839912742-latest-dev.dev.atoms.dev/")</f>
        <v>https://890131-bb693bf9621e441fa7c400f839912742-latest-dev.dev.atoms.dev/</v>
      </c>
      <c r="N154" s="2" t="str">
        <f>=HYPERLINK("http://press_test9@mgx.dev", "press_test9@mgx.dev")</f>
        <v>press_test9@mgx.dev</v>
      </c>
      <c r="O154" t="inlineStr">
        <is>
          <t>bb693bf9621e441fa7c400f839912742</t>
        </is>
      </c>
    </row>
    <row r="155" ht="25.5" customHeight="1">
      <c r="A155" t="inlineStr">
        <is>
          <t>Digital Art Gallery</t>
        </is>
      </c>
      <c r="B155">
        <v>12</v>
      </c>
      <c r="C155" t="inlineStr">
        <is>
          <t>@杨春玉</t>
        </is>
      </c>
      <c r="D155">
        <v>1</v>
      </c>
      <c r="E155"/>
      <c r="F155" t="inlineStr">
        <is>
          <t>@陈佳杰</t>
        </is>
      </c>
      <c r="G155">
        <v>1</v>
      </c>
      <c r="H155"/>
      <c r="I155">
        <v>9</v>
      </c>
      <c r="J155" t="inlineStr">
        <is>
          <t>Locate the message board module on the artwork detail page</t>
        </is>
      </c>
      <c r="K155" t="inlineStr">
        <is>
          <t>在作品详情页找到留言板模块</t>
        </is>
      </c>
      <c r="L155" s="2" t="str">
        <f>=HYPERLINK("https://atoms.dev/chat/5461f0b9d820422ebdb36a12a2861905", "https://atoms.dev/chat/5461f0b9d820422ebdb36a12a2861905")</f>
        <v>https://atoms.dev/chat/5461f0b9d820422ebdb36a12a2861905</v>
      </c>
      <c r="M155" s="2" t="str">
        <f>=HYPERLINK("https://890131-bb693bf9621e441fa7c400f839912742-latest-dev.dev.atoms.dev/", "https://890131-bb693bf9621e441fa7c400f839912742-latest-dev.dev.atoms.dev/")</f>
        <v>https://890131-bb693bf9621e441fa7c400f839912742-latest-dev.dev.atoms.dev/</v>
      </c>
      <c r="N155" s="2" t="str">
        <f>=HYPERLINK("http://press_test9@mgx.dev", "press_test9@mgx.dev")</f>
        <v>press_test9@mgx.dev</v>
      </c>
      <c r="O155" t="inlineStr">
        <is>
          <t>bb693bf9621e441fa7c400f839912742</t>
        </is>
      </c>
    </row>
    <row r="156" ht="25.5" customHeight="1">
      <c r="A156" t="inlineStr">
        <is>
          <t>Digital Art Gallery</t>
        </is>
      </c>
      <c r="B156">
        <v>12</v>
      </c>
      <c r="C156" t="inlineStr">
        <is>
          <t>@杨春玉</t>
        </is>
      </c>
      <c r="D156">
        <v>1</v>
      </c>
      <c r="E156"/>
      <c r="F156" t="inlineStr">
        <is>
          <t>@陈佳杰</t>
        </is>
      </c>
      <c r="G156">
        <v>1</v>
      </c>
      <c r="H156"/>
      <c r="I156">
        <v>10</v>
      </c>
      <c r="J156" t="inlineStr">
        <is>
          <t>Select a specific category and verify that only artworks from that category are displayed</t>
        </is>
      </c>
      <c r="K156" t="inlineStr">
        <is>
          <t>选择特定分类并验证仅展示该分类下的作品</t>
        </is>
      </c>
      <c r="L156" s="2" t="str">
        <f>=HYPERLINK("https://atoms.dev/chat/5461f0b9d820422ebdb36a12a2861905", "https://atoms.dev/chat/5461f0b9d820422ebdb36a12a2861905")</f>
        <v>https://atoms.dev/chat/5461f0b9d820422ebdb36a12a2861905</v>
      </c>
      <c r="M156" s="2" t="str">
        <f>=HYPERLINK("https://890131-bb693bf9621e441fa7c400f839912742-latest-dev.dev.atoms.dev/", "https://890131-bb693bf9621e441fa7c400f839912742-latest-dev.dev.atoms.dev/")</f>
        <v>https://890131-bb693bf9621e441fa7c400f839912742-latest-dev.dev.atoms.dev/</v>
      </c>
      <c r="N156" s="2" t="str">
        <f>=HYPERLINK("http://press_test9@mgx.dev", "press_test9@mgx.dev")</f>
        <v>press_test9@mgx.dev</v>
      </c>
      <c r="O156" t="inlineStr">
        <is>
          <t>bb693bf9621e441fa7c400f839912742</t>
        </is>
      </c>
    </row>
    <row r="157" ht="25.5" customHeight="1">
      <c r="A157" t="inlineStr">
        <is>
          <t>Digital Art Gallery</t>
        </is>
      </c>
      <c r="B157">
        <v>12</v>
      </c>
      <c r="C157" t="inlineStr">
        <is>
          <t>@杨春玉</t>
        </is>
      </c>
      <c r="D157">
        <v>1</v>
      </c>
      <c r="E157"/>
      <c r="F157" t="inlineStr">
        <is>
          <t>@陈佳杰</t>
        </is>
      </c>
      <c r="G157">
        <v>1</v>
      </c>
      <c r="H157"/>
      <c r="I157">
        <v>11</v>
      </c>
      <c r="J157" t="inlineStr">
        <is>
          <t>Test multiple category selections to ensure correct filtering</t>
        </is>
      </c>
      <c r="K157" t="inlineStr">
        <is>
          <t>测试多选分类，确保筛选结果正确</t>
        </is>
      </c>
      <c r="L157" s="2" t="str">
        <f>=HYPERLINK("https://atoms.dev/chat/5461f0b9d820422ebdb36a12a2861905", "https://atoms.dev/chat/5461f0b9d820422ebdb36a12a2861905")</f>
        <v>https://atoms.dev/chat/5461f0b9d820422ebdb36a12a2861905</v>
      </c>
      <c r="M157" s="2" t="str">
        <f>=HYPERLINK("https://890131-bb693bf9621e441fa7c400f839912742-latest-dev.dev.atoms.dev/", "https://890131-bb693bf9621e441fa7c400f839912742-latest-dev.dev.atoms.dev/")</f>
        <v>https://890131-bb693bf9621e441fa7c400f839912742-latest-dev.dev.atoms.dev/</v>
      </c>
      <c r="N157" s="2" t="str">
        <f>=HYPERLINK("http://press_test9@mgx.dev", "press_test9@mgx.dev")</f>
        <v>press_test9@mgx.dev</v>
      </c>
      <c r="O157" t="inlineStr">
        <is>
          <t>bb693bf9621e441fa7c400f839912742</t>
        </is>
      </c>
    </row>
    <row r="158" ht="25.5" customHeight="1">
      <c r="A158" t="inlineStr">
        <is>
          <t>Digital Art Gallery</t>
        </is>
      </c>
      <c r="B158">
        <v>12</v>
      </c>
      <c r="C158" t="inlineStr">
        <is>
          <t>@杨春玉</t>
        </is>
      </c>
      <c r="D158">
        <v>1</v>
      </c>
      <c r="E158"/>
      <c r="F158" t="inlineStr">
        <is>
          <t>@陈佳杰</t>
        </is>
      </c>
      <c r="G158">
        <v>1</v>
      </c>
      <c r="H158"/>
      <c r="I158">
        <v>12</v>
      </c>
      <c r="J158" t="inlineStr">
        <is>
          <t>Verify that the homepage displays a grid layout of artwork thumbnails</t>
        </is>
      </c>
      <c r="K158" t="inlineStr">
        <is>
          <t>验证首页以网格布局展示作品缩略图</t>
        </is>
      </c>
      <c r="L158" s="2" t="str">
        <f>=HYPERLINK("https://atoms.dev/chat/5461f0b9d820422ebdb36a12a2861905", "https://atoms.dev/chat/5461f0b9d820422ebdb36a12a2861905")</f>
        <v>https://atoms.dev/chat/5461f0b9d820422ebdb36a12a2861905</v>
      </c>
      <c r="M158" s="2" t="str">
        <f>=HYPERLINK("https://890131-bb693bf9621e441fa7c400f839912742-latest-dev.dev.atoms.dev/", "https://890131-bb693bf9621e441fa7c400f839912742-latest-dev.dev.atoms.dev/")</f>
        <v>https://890131-bb693bf9621e441fa7c400f839912742-latest-dev.dev.atoms.dev/</v>
      </c>
      <c r="N158" s="2" t="str">
        <f>=HYPERLINK("http://press_test9@mgx.dev", "press_test9@mgx.dev")</f>
        <v>press_test9@mgx.dev</v>
      </c>
      <c r="O158" t="inlineStr">
        <is>
          <t>bb693bf9621e441fa7c400f839912742</t>
        </is>
      </c>
    </row>
    <row r="159" ht="25.5" customHeight="1">
      <c r="A159" t="inlineStr">
        <is>
          <t>DigitalBusinessCard Page</t>
        </is>
      </c>
      <c r="B159">
        <v>13</v>
      </c>
      <c r="C159" t="inlineStr">
        <is>
          <t>@杨春玉</t>
        </is>
      </c>
      <c r="D159">
        <v>1</v>
      </c>
      <c r="E159"/>
      <c r="F159" t="inlineStr">
        <is>
          <t>@陈佳杰</t>
        </is>
      </c>
      <c r="G159">
        <v>1</v>
      </c>
      <c r="H159"/>
      <c r="I159">
        <v>1</v>
      </c>
      <c r="J159" t="inlineStr">
        <is>
          <t>Check if the name is correctly displayed in the basic information module</t>
        </is>
      </c>
      <c r="K159" t="inlineStr">
        <is>
          <t>检查基础信息模块中姓名是否正确展示</t>
        </is>
      </c>
      <c r="L159" s="2" t="str">
        <f>=HYPERLINK("http://pre.mgx.dev/chat/bfbb835d81644337aedb4d3bcdd1b82c", "http://pre.mgx.dev/chat/bfbb835d81644337aedb4d3bcdd1b82c")</f>
        <v>http://pre.mgx.dev/chat/bfbb835d81644337aedb4d3bcdd1b82c</v>
      </c>
      <c r="M159" s="2" t="str">
        <f>=HYPERLINK("", "https://45761-bfbb835d81644337aedb4d3bcdd1b82c-3-latest.app.beta.mgx.dev")</f>
        <v>https://45761-bfbb835d81644337aedb4d3bcdd1b82c-3-latest.app.beta.mgx.dev</v>
      </c>
      <c r="N159" s="2" t="str">
        <f>=HYPERLINK("mailto:eval_51@auto.com", "eval_51@auto.com")</f>
        <v>eval_51@auto.com</v>
      </c>
      <c r="O159" t="inlineStr">
        <is>
          <t>bfbb835d81644337aedb4d3bcdd1b82c</t>
        </is>
      </c>
    </row>
    <row r="160" ht="25.5" customHeight="1">
      <c r="A160" t="inlineStr">
        <is>
          <t>DigitalBusinessCard Page</t>
        </is>
      </c>
      <c r="B160">
        <v>13</v>
      </c>
      <c r="C160" t="inlineStr">
        <is>
          <t>@杨春玉</t>
        </is>
      </c>
      <c r="D160">
        <v>1</v>
      </c>
      <c r="E160"/>
      <c r="F160" t="inlineStr">
        <is>
          <t>@陈佳杰</t>
        </is>
      </c>
      <c r="G160">
        <v>1</v>
      </c>
      <c r="H160"/>
      <c r="I160">
        <v>2</v>
      </c>
      <c r="J160" t="inlineStr">
        <is>
          <t>Check if the personal introduction text is displayed on the webpage</t>
        </is>
      </c>
      <c r="K160" t="inlineStr">
        <is>
          <t>检查个人介绍文本是否在网页上展示</t>
        </is>
      </c>
      <c r="L160" s="2" t="str">
        <f>=HYPERLINK("http://pre.mgx.dev/chat/bfbb835d81644337aedb4d3bcdd1b82c", "http://pre.mgx.dev/chat/bfbb835d81644337aedb4d3bcdd1b82c")</f>
        <v>http://pre.mgx.dev/chat/bfbb835d81644337aedb4d3bcdd1b82c</v>
      </c>
      <c r="M160" s="2" t="str">
        <f>=HYPERLINK("", "https://45761-bfbb835d81644337aedb4d3bcdd1b82c-3-latest.app.beta.mgx.dev")</f>
        <v>https://45761-bfbb835d81644337aedb4d3bcdd1b82c-3-latest.app.beta.mgx.dev</v>
      </c>
      <c r="N160" s="2" t="str">
        <f>=HYPERLINK("mailto:eval_51@auto.com", "eval_51@auto.com")</f>
        <v>eval_51@auto.com</v>
      </c>
      <c r="O160" t="inlineStr">
        <is>
          <t>bfbb835d81644337aedb4d3bcdd1b82c</t>
        </is>
      </c>
    </row>
    <row r="161" ht="25.5" customHeight="1">
      <c r="A161" t="inlineStr">
        <is>
          <t>DigitalBusinessCard Page</t>
        </is>
      </c>
      <c r="B161">
        <v>13</v>
      </c>
      <c r="C161" t="inlineStr">
        <is>
          <t>@杨春玉</t>
        </is>
      </c>
      <c r="D161">
        <v>1</v>
      </c>
      <c r="E161"/>
      <c r="F161" t="inlineStr">
        <is>
          <t>@陈佳杰</t>
        </is>
      </c>
      <c r="G161">
        <v>1</v>
      </c>
      <c r="H161"/>
      <c r="I161">
        <v>3</v>
      </c>
      <c r="J161" t="inlineStr">
        <is>
          <t>Click the vCard download button and confirm that a .vcf file is downloaded</t>
        </is>
      </c>
      <c r="K161" t="inlineStr">
        <is>
          <t>点击电子名片下载按钮并确认下载.vcf格式文件</t>
        </is>
      </c>
      <c r="L161" s="2" t="str">
        <f>=HYPERLINK("http://pre.mgx.dev/chat/bfbb835d81644337aedb4d3bcdd1b82c", "http://pre.mgx.dev/chat/bfbb835d81644337aedb4d3bcdd1b82c")</f>
        <v>http://pre.mgx.dev/chat/bfbb835d81644337aedb4d3bcdd1b82c</v>
      </c>
      <c r="M161" s="2" t="str">
        <f>=HYPERLINK("", "https://45761-bfbb835d81644337aedb4d3bcdd1b82c-3-latest.app.beta.mgx.dev")</f>
        <v>https://45761-bfbb835d81644337aedb4d3bcdd1b82c-3-latest.app.beta.mgx.dev</v>
      </c>
      <c r="N161" s="2" t="str">
        <f>=HYPERLINK("mailto:eval_51@auto.com", "eval_51@auto.com")</f>
        <v>eval_51@auto.com</v>
      </c>
      <c r="O161" t="inlineStr">
        <is>
          <t>bfbb835d81644337aedb4d3bcdd1b82c</t>
        </is>
      </c>
    </row>
    <row r="162" ht="25.5" customHeight="1">
      <c r="A162" t="inlineStr">
        <is>
          <t>DigitalBusinessCard Page</t>
        </is>
      </c>
      <c r="B162">
        <v>13</v>
      </c>
      <c r="C162" t="inlineStr">
        <is>
          <t>@杨春玉</t>
        </is>
      </c>
      <c r="D162">
        <v>1</v>
      </c>
      <c r="E162"/>
      <c r="F162" t="inlineStr">
        <is>
          <t>@陈佳杰</t>
        </is>
      </c>
      <c r="G162">
        <v>1</v>
      </c>
      <c r="H162"/>
      <c r="I162">
        <v>4</v>
      </c>
      <c r="J162" t="inlineStr">
        <is>
          <t>Ensure the job title is accurately shown in the basic information module</t>
        </is>
      </c>
      <c r="K162" t="inlineStr">
        <is>
          <t>确保基础信息模块中职位名称准确展示</t>
        </is>
      </c>
      <c r="L162" s="2" t="str">
        <f>=HYPERLINK("http://pre.mgx.dev/chat/bfbb835d81644337aedb4d3bcdd1b82c", "http://pre.mgx.dev/chat/bfbb835d81644337aedb4d3bcdd1b82c")</f>
        <v>http://pre.mgx.dev/chat/bfbb835d81644337aedb4d3bcdd1b82c</v>
      </c>
      <c r="M162" s="2" t="str">
        <f>=HYPERLINK("", "https://45761-bfbb835d81644337aedb4d3bcdd1b82c-3-latest.app.beta.mgx.dev")</f>
        <v>https://45761-bfbb835d81644337aedb4d3bcdd1b82c-3-latest.app.beta.mgx.dev</v>
      </c>
      <c r="N162" s="2" t="str">
        <f>=HYPERLINK("mailto:eval_51@auto.com", "eval_51@auto.com")</f>
        <v>eval_51@auto.com</v>
      </c>
      <c r="O162" t="inlineStr">
        <is>
          <t>bfbb835d81644337aedb4d3bcdd1b82c</t>
        </is>
      </c>
    </row>
    <row r="163" ht="25.5" customHeight="1">
      <c r="A163" t="inlineStr">
        <is>
          <t>DigitalBusinessCard Page</t>
        </is>
      </c>
      <c r="B163">
        <v>13</v>
      </c>
      <c r="C163" t="inlineStr">
        <is>
          <t>@杨春玉</t>
        </is>
      </c>
      <c r="D163">
        <v>1</v>
      </c>
      <c r="E163"/>
      <c r="F163" t="inlineStr">
        <is>
          <t>@陈佳杰</t>
        </is>
      </c>
      <c r="G163">
        <v>0</v>
      </c>
      <c r="H163" t="inlineStr">
        <is>
          <t>扫描结果：“a”</t>
        </is>
      </c>
      <c r="I163">
        <v>5</v>
      </c>
      <c r="J163" t="inlineStr">
        <is>
          <t>Verify that scanning the QR code leads to the correct digital business card page</t>
        </is>
      </c>
      <c r="K163" t="inlineStr">
        <is>
          <t>验证扫描二维码可跳转至正确的电子名片页面</t>
        </is>
      </c>
      <c r="L163" s="2" t="str">
        <f>=HYPERLINK("http://pre.mgx.dev/chat/bfbb835d81644337aedb4d3bcdd1b82c", "http://pre.mgx.dev/chat/bfbb835d81644337aedb4d3bcdd1b82c")</f>
        <v>http://pre.mgx.dev/chat/bfbb835d81644337aedb4d3bcdd1b82c</v>
      </c>
      <c r="M163" s="2" t="str">
        <f>=HYPERLINK("", "https://45761-bfbb835d81644337aedb4d3bcdd1b82c-3-latest.app.beta.mgx.dev")</f>
        <v>https://45761-bfbb835d81644337aedb4d3bcdd1b82c-3-latest.app.beta.mgx.dev</v>
      </c>
      <c r="N163" s="2" t="str">
        <f>=HYPERLINK("mailto:eval_51@auto.com", "eval_51@auto.com")</f>
        <v>eval_51@auto.com</v>
      </c>
      <c r="O163" t="inlineStr">
        <is>
          <t>bfbb835d81644337aedb4d3bcdd1b82c</t>
        </is>
      </c>
    </row>
    <row r="164" ht="25.5" customHeight="1">
      <c r="A164" t="inlineStr">
        <is>
          <t>DigitalBusinessCard Page</t>
        </is>
      </c>
      <c r="B164">
        <v>13</v>
      </c>
      <c r="C164" t="inlineStr">
        <is>
          <t>@杨春玉</t>
        </is>
      </c>
      <c r="D164">
        <v>1</v>
      </c>
      <c r="E164"/>
      <c r="F164" t="inlineStr">
        <is>
          <t>@陈佳杰</t>
        </is>
      </c>
      <c r="G164">
        <v>1</v>
      </c>
      <c r="H164"/>
      <c r="I164">
        <v>6</v>
      </c>
      <c r="J164" t="inlineStr">
        <is>
          <t>Verify that the basic information module is displayed on the webpage</t>
        </is>
      </c>
      <c r="K164" t="inlineStr">
        <is>
          <t>验证网页上展示基础信息模块</t>
        </is>
      </c>
      <c r="L164" s="2" t="str">
        <f>=HYPERLINK("http://pre.mgx.dev/chat/bfbb835d81644337aedb4d3bcdd1b82c", "http://pre.mgx.dev/chat/bfbb835d81644337aedb4d3bcdd1b82c")</f>
        <v>http://pre.mgx.dev/chat/bfbb835d81644337aedb4d3bcdd1b82c</v>
      </c>
      <c r="M164" s="2" t="str">
        <f>=HYPERLINK("", "https://45761-bfbb835d81644337aedb4d3bcdd1b82c-3-latest.app.beta.mgx.dev")</f>
        <v>https://45761-bfbb835d81644337aedb4d3bcdd1b82c-3-latest.app.beta.mgx.dev</v>
      </c>
      <c r="N164" s="2" t="str">
        <f>=HYPERLINK("mailto:eval_51@auto.com", "eval_51@auto.com")</f>
        <v>eval_51@auto.com</v>
      </c>
      <c r="O164" t="inlineStr">
        <is>
          <t>bfbb835d81644337aedb4d3bcdd1b82c</t>
        </is>
      </c>
    </row>
    <row r="165" ht="25.5" customHeight="1">
      <c r="A165" t="inlineStr">
        <is>
          <t>DigitalBusinessCard Page</t>
        </is>
      </c>
      <c r="B165">
        <v>13</v>
      </c>
      <c r="C165" t="inlineStr">
        <is>
          <t>@杨春玉</t>
        </is>
      </c>
      <c r="D165">
        <v>1</v>
      </c>
      <c r="E165"/>
      <c r="F165" t="inlineStr">
        <is>
          <t>@陈佳杰</t>
        </is>
      </c>
      <c r="G165">
        <v>1</v>
      </c>
      <c r="H165"/>
      <c r="I165">
        <v>7</v>
      </c>
      <c r="J165" t="inlineStr">
        <is>
          <t>Verify that the vCard download button is visible on the page</t>
        </is>
      </c>
      <c r="K165" t="inlineStr">
        <is>
          <t>验证页面上电子名片下载按钮可见</t>
        </is>
      </c>
      <c r="L165" s="2" t="str">
        <f>=HYPERLINK("http://pre.mgx.dev/chat/bfbb835d81644337aedb4d3bcdd1b82c", "http://pre.mgx.dev/chat/bfbb835d81644337aedb4d3bcdd1b82c")</f>
        <v>http://pre.mgx.dev/chat/bfbb835d81644337aedb4d3bcdd1b82c</v>
      </c>
      <c r="M165" s="2" t="str">
        <f>=HYPERLINK("", "https://45761-bfbb835d81644337aedb4d3bcdd1b82c-3-latest.app.beta.mgx.dev")</f>
        <v>https://45761-bfbb835d81644337aedb4d3bcdd1b82c-3-latest.app.beta.mgx.dev</v>
      </c>
      <c r="N165" s="2" t="str">
        <f>=HYPERLINK("mailto:eval_51@auto.com", "eval_51@auto.com")</f>
        <v>eval_51@auto.com</v>
      </c>
      <c r="O165" t="inlineStr">
        <is>
          <t>bfbb835d81644337aedb4d3bcdd1b82c</t>
        </is>
      </c>
    </row>
    <row r="166" ht="25.5" customHeight="1">
      <c r="A166" t="inlineStr">
        <is>
          <t>Event Landing Page</t>
        </is>
      </c>
      <c r="B166">
        <v>14</v>
      </c>
      <c r="C166" t="inlineStr">
        <is>
          <t>@杨春玉</t>
        </is>
      </c>
      <c r="D166">
        <v>1</v>
      </c>
      <c r="E166"/>
      <c r="F166" t="inlineStr">
        <is>
          <t>@陈佳杰</t>
        </is>
      </c>
      <c r="G166">
        <v>1</v>
      </c>
      <c r="H166"/>
      <c r="I166">
        <v>1</v>
      </c>
      <c r="J166" t="inlineStr">
        <is>
          <t>Check conference dates are accurately shown in the banner</t>
        </is>
      </c>
      <c r="K166" t="inlineStr">
        <is>
          <t>检查横幅中会议日期是否准确展示</t>
        </is>
      </c>
      <c r="L166" s="2" t="str">
        <f>=HYPERLINK("http://pre.mgx.dev/chat/98e7c2946bb64d0686354daef465b434", "http://pre.mgx.dev/chat/98e7c2946bb64d0686354daef465b434")</f>
        <v>http://pre.mgx.dev/chat/98e7c2946bb64d0686354daef465b434</v>
      </c>
      <c r="M166" s="2" t="str">
        <f>=HYPERLINK("https://45788-98e7c2946bb64d0686354daef465b434-3-latest.app.beta.mgx.dev", "https://45788-98e7c2946bb64d0686354daef465b434-3-latest.app.beta.mgx.dev")</f>
        <v>https://45788-98e7c2946bb64d0686354daef465b434-3-latest.app.beta.mgx.dev</v>
      </c>
      <c r="N166" s="2" t="str">
        <f>=HYPERLINK("mailto:eval_78@auto.com", "eval_78@auto.com")</f>
        <v>eval_78@auto.com</v>
      </c>
      <c r="O166" t="inlineStr">
        <is>
          <t>98e7c2946bb64d0686354daef465b434</t>
        </is>
      </c>
    </row>
    <row r="167" ht="25.5" customHeight="1">
      <c r="A167" t="inlineStr">
        <is>
          <t>Event Landing Page</t>
        </is>
      </c>
      <c r="B167">
        <v>14</v>
      </c>
      <c r="C167" t="inlineStr">
        <is>
          <t>@杨春玉</t>
        </is>
      </c>
      <c r="D167">
        <v>1</v>
      </c>
      <c r="E167"/>
      <c r="F167" t="inlineStr">
        <is>
          <t>@陈佳杰</t>
        </is>
      </c>
      <c r="G167">
        <v>1</v>
      </c>
      <c r="H167"/>
      <c r="I167">
        <v>2</v>
      </c>
      <c r="J167" t="inlineStr">
        <is>
          <t>Check form validation for required fields</t>
        </is>
      </c>
      <c r="K167" t="inlineStr">
        <is>
          <t>检查必填项的表单验证功能</t>
        </is>
      </c>
      <c r="L167" s="2" t="str">
        <f>=HYPERLINK("http://pre.mgx.dev/chat/98e7c2946bb64d0686354daef465b434", "http://pre.mgx.dev/chat/98e7c2946bb64d0686354daef465b434")</f>
        <v>http://pre.mgx.dev/chat/98e7c2946bb64d0686354daef465b434</v>
      </c>
      <c r="M167" s="2" t="str">
        <f>=HYPERLINK("", "https://45788-98e7c2946bb64d0686354daef465b434-3-latest.app.beta.mgx.dev")</f>
        <v>https://45788-98e7c2946bb64d0686354daef465b434-3-latest.app.beta.mgx.dev</v>
      </c>
      <c r="N167" s="2" t="str">
        <f>=HYPERLINK("mailto:eval_78@auto.com", "eval_78@auto.com")</f>
        <v>eval_78@auto.com</v>
      </c>
      <c r="O167" t="inlineStr">
        <is>
          <t>98e7c2946bb64d0686354daef465b434</t>
        </is>
      </c>
    </row>
    <row r="168" ht="25.5" customHeight="1">
      <c r="A168" t="inlineStr">
        <is>
          <t>Event Landing Page</t>
        </is>
      </c>
      <c r="B168">
        <v>14</v>
      </c>
      <c r="C168" t="inlineStr">
        <is>
          <t>@杨春玉</t>
        </is>
      </c>
      <c r="D168">
        <v>1</v>
      </c>
      <c r="E168"/>
      <c r="F168" t="inlineStr">
        <is>
          <t>@陈佳杰</t>
        </is>
      </c>
      <c r="G168">
        <v>1</v>
      </c>
      <c r="H168"/>
      <c r="I168">
        <v>3</v>
      </c>
      <c r="J168" t="inlineStr">
        <is>
          <t>Confirm countdown timer is visible on the page</t>
        </is>
      </c>
      <c r="K168" t="inlineStr">
        <is>
          <t>确认页面上可见倒计时器</t>
        </is>
      </c>
      <c r="L168" s="2" t="str">
        <f>=HYPERLINK("http://pre.mgx.dev/chat/98e7c2946bb64d0686354daef465b434", "http://pre.mgx.dev/chat/98e7c2946bb64d0686354daef465b434")</f>
        <v>http://pre.mgx.dev/chat/98e7c2946bb64d0686354daef465b434</v>
      </c>
      <c r="M168" s="2" t="str">
        <f>=HYPERLINK("", "https://45788-98e7c2946bb64d0686354daef465b434-3-latest.app.beta.mgx.dev")</f>
        <v>https://45788-98e7c2946bb64d0686354daef465b434-3-latest.app.beta.mgx.dev</v>
      </c>
      <c r="N168" s="2" t="str">
        <f>=HYPERLINK("mailto:eval_78@auto.com", "eval_78@auto.com")</f>
        <v>eval_78@auto.com</v>
      </c>
      <c r="O168" t="inlineStr">
        <is>
          <t>98e7c2946bb64d0686354daef465b434</t>
        </is>
      </c>
    </row>
    <row r="169" ht="25.5" customHeight="1">
      <c r="A169" t="inlineStr">
        <is>
          <t>Event Landing Page</t>
        </is>
      </c>
      <c r="B169">
        <v>14</v>
      </c>
      <c r="C169" t="inlineStr">
        <is>
          <t>@杨春玉</t>
        </is>
      </c>
      <c r="D169">
        <v>1</v>
      </c>
      <c r="E169"/>
      <c r="F169" t="inlineStr">
        <is>
          <t>@陈佳杰</t>
        </is>
      </c>
      <c r="G169">
        <v>1</v>
      </c>
      <c r="H169"/>
      <c r="I169">
        <v>4</v>
      </c>
      <c r="J169" t="inlineStr">
        <is>
          <t>Ensure schedule information is presented in a table format</t>
        </is>
      </c>
      <c r="K169" t="inlineStr">
        <is>
          <t>确保日程信息以表格形式呈现</t>
        </is>
      </c>
      <c r="L169" s="2" t="str">
        <f>=HYPERLINK("http://pre.mgx.dev/chat/98e7c2946bb64d0686354daef465b434", "http://pre.mgx.dev/chat/98e7c2946bb64d0686354daef465b434")</f>
        <v>http://pre.mgx.dev/chat/98e7c2946bb64d0686354daef465b434</v>
      </c>
      <c r="M169" s="2" t="str">
        <f>=HYPERLINK("", "https://45788-98e7c2946bb64d0686354daef465b434-3-latest.app.beta.mgx.dev")</f>
        <v>https://45788-98e7c2946bb64d0686354daef465b434-3-latest.app.beta.mgx.dev</v>
      </c>
      <c r="N169" s="2" t="str">
        <f>=HYPERLINK("mailto:eval_78@auto.com", "eval_78@auto.com")</f>
        <v>eval_78@auto.com</v>
      </c>
      <c r="O169" t="inlineStr">
        <is>
          <t>98e7c2946bb64d0686354daef465b434</t>
        </is>
      </c>
    </row>
    <row r="170" ht="25.5" customHeight="1">
      <c r="A170" t="inlineStr">
        <is>
          <t>Event Landing Page</t>
        </is>
      </c>
      <c r="B170">
        <v>14</v>
      </c>
      <c r="C170" t="inlineStr">
        <is>
          <t>@杨春玉</t>
        </is>
      </c>
      <c r="D170">
        <v>1</v>
      </c>
      <c r="E170"/>
      <c r="F170" t="inlineStr">
        <is>
          <t>@陈佳杰</t>
        </is>
      </c>
      <c r="G170">
        <v>1</v>
      </c>
      <c r="H170"/>
      <c r="I170">
        <v>5</v>
      </c>
      <c r="J170" t="inlineStr">
        <is>
          <t>Test conference introduction banner displays correctly</t>
        </is>
      </c>
      <c r="K170" t="inlineStr">
        <is>
          <t>测试会议介绍横幅展示正常</t>
        </is>
      </c>
      <c r="L170" s="2" t="str">
        <f>=HYPERLINK("http://pre.mgx.dev/chat/98e7c2946bb64d0686354daef465b434", "http://pre.mgx.dev/chat/98e7c2946bb64d0686354daef465b434")</f>
        <v>http://pre.mgx.dev/chat/98e7c2946bb64d0686354daef465b434</v>
      </c>
      <c r="M170" s="2" t="str">
        <f>=HYPERLINK("", "https://45788-98e7c2946bb64d0686354daef465b434-3-latest.app.beta.mgx.dev")</f>
        <v>https://45788-98e7c2946bb64d0686354daef465b434-3-latest.app.beta.mgx.dev</v>
      </c>
      <c r="N170" s="2" t="str">
        <f>=HYPERLINK("mailto:eval_78@auto.com", "eval_78@auto.com")</f>
        <v>eval_78@auto.com</v>
      </c>
      <c r="O170" t="inlineStr">
        <is>
          <t>98e7c2946bb64d0686354daef465b434</t>
        </is>
      </c>
    </row>
    <row r="171" ht="25.5" customHeight="1">
      <c r="A171" t="inlineStr">
        <is>
          <t>Event Landing Page</t>
        </is>
      </c>
      <c r="B171">
        <v>14</v>
      </c>
      <c r="C171" t="inlineStr">
        <is>
          <t>@杨春玉</t>
        </is>
      </c>
      <c r="D171">
        <v>1</v>
      </c>
      <c r="E171"/>
      <c r="F171" t="inlineStr">
        <is>
          <t>@陈佳杰</t>
        </is>
      </c>
      <c r="G171">
        <v>0</v>
      </c>
      <c r="H171" t="inlineStr">
        <is>
          <t>无法验证是否提交成功</t>
        </is>
      </c>
      <c r="I171">
        <v>6</v>
      </c>
      <c r="J171" t="inlineStr">
        <is>
          <t>Test submission of the registration form with valid data</t>
        </is>
      </c>
      <c r="K171" t="inlineStr">
        <is>
          <t>测试使用有效信息提交注册表单</t>
        </is>
      </c>
      <c r="L171" s="2" t="str">
        <f>=HYPERLINK("http://pre.mgx.dev/chat/98e7c2946bb64d0686354daef465b434", "http://pre.mgx.dev/chat/98e7c2946bb64d0686354daef465b434")</f>
        <v>http://pre.mgx.dev/chat/98e7c2946bb64d0686354daef465b434</v>
      </c>
      <c r="M171" s="2" t="str">
        <f>=HYPERLINK("", "https://45788-98e7c2946bb64d0686354daef465b434-3-latest.app.beta.mgx.dev")</f>
        <v>https://45788-98e7c2946bb64d0686354daef465b434-3-latest.app.beta.mgx.dev</v>
      </c>
      <c r="N171" s="2" t="str">
        <f>=HYPERLINK("mailto:eval_78@auto.com", "eval_78@auto.com")</f>
        <v>eval_78@auto.com</v>
      </c>
      <c r="O171" t="inlineStr">
        <is>
          <t>98e7c2946bb64d0686354daef465b434</t>
        </is>
      </c>
    </row>
    <row r="172" ht="25.5" customHeight="1">
      <c r="A172" t="inlineStr">
        <is>
          <t>Event Landing Page</t>
        </is>
      </c>
      <c r="B172">
        <v>14</v>
      </c>
      <c r="C172" t="inlineStr">
        <is>
          <t>@杨春玉</t>
        </is>
      </c>
      <c r="D172">
        <v>1</v>
      </c>
      <c r="E172"/>
      <c r="F172" t="inlineStr">
        <is>
          <t>@陈佳杰</t>
        </is>
      </c>
      <c r="G172">
        <v>1</v>
      </c>
      <c r="H172"/>
      <c r="I172">
        <v>7</v>
      </c>
      <c r="J172" t="inlineStr">
        <is>
          <t>Verify all scheduled events are displayed in the table</t>
        </is>
      </c>
      <c r="K172" t="inlineStr">
        <is>
          <t>验证表格中展示所有排期活动</t>
        </is>
      </c>
      <c r="L172" s="2" t="str">
        <f>=HYPERLINK("http://pre.mgx.dev/chat/98e7c2946bb64d0686354daef465b434", "http://pre.mgx.dev/chat/98e7c2946bb64d0686354daef465b434")</f>
        <v>http://pre.mgx.dev/chat/98e7c2946bb64d0686354daef465b434</v>
      </c>
      <c r="M172" s="2" t="str">
        <f>=HYPERLINK("", "https://45788-98e7c2946bb64d0686354daef465b434-3-latest.app.beta.mgx.dev")</f>
        <v>https://45788-98e7c2946bb64d0686354daef465b434-3-latest.app.beta.mgx.dev</v>
      </c>
      <c r="N172" s="2" t="str">
        <f>=HYPERLINK("mailto:eval_78@auto.com", "eval_78@auto.com")</f>
        <v>eval_78@auto.com</v>
      </c>
      <c r="O172" t="inlineStr">
        <is>
          <t>98e7c2946bb64d0686354daef465b434</t>
        </is>
      </c>
    </row>
    <row r="173" ht="25.5" customHeight="1">
      <c r="A173" t="inlineStr">
        <is>
          <t>Event Landing Page</t>
        </is>
      </c>
      <c r="B173">
        <v>14</v>
      </c>
      <c r="C173" t="inlineStr">
        <is>
          <t>@杨春玉</t>
        </is>
      </c>
      <c r="D173">
        <v>1</v>
      </c>
      <c r="E173"/>
      <c r="F173" t="inlineStr">
        <is>
          <t>@陈佳杰</t>
        </is>
      </c>
      <c r="G173">
        <v>1</v>
      </c>
      <c r="H173"/>
      <c r="I173">
        <v>8</v>
      </c>
      <c r="J173" t="inlineStr">
        <is>
          <t>Verify conference theme is visible in the banner</t>
        </is>
      </c>
      <c r="K173" t="inlineStr">
        <is>
          <t>验证横幅中展示会议主题</t>
        </is>
      </c>
      <c r="L173" s="2" t="str">
        <f>=HYPERLINK("http://pre.mgx.dev/chat/98e7c2946bb64d0686354daef465b434", "http://pre.mgx.dev/chat/98e7c2946bb64d0686354daef465b434")</f>
        <v>http://pre.mgx.dev/chat/98e7c2946bb64d0686354daef465b434</v>
      </c>
      <c r="M173" s="2" t="str">
        <f>=HYPERLINK("", "https://45788-98e7c2946bb64d0686354daef465b434-3-latest.app.beta.mgx.dev")</f>
        <v>https://45788-98e7c2946bb64d0686354daef465b434-3-latest.app.beta.mgx.dev</v>
      </c>
      <c r="N173" s="2" t="str">
        <f>=HYPERLINK("mailto:eval_78@auto.com", "eval_78@auto.com")</f>
        <v>eval_78@auto.com</v>
      </c>
      <c r="O173" t="inlineStr">
        <is>
          <t>98e7c2946bb64d0686354daef465b434</t>
        </is>
      </c>
    </row>
    <row r="174" ht="25.5" customHeight="1">
      <c r="A174" t="inlineStr">
        <is>
          <t>Event Landing Page</t>
        </is>
      </c>
      <c r="B174">
        <v>14</v>
      </c>
      <c r="C174" t="inlineStr">
        <is>
          <t>@杨春玉</t>
        </is>
      </c>
      <c r="D174">
        <v>0</v>
      </c>
      <c r="E174" t="inlineStr">
        <is>
          <t>没有提示</t>
        </is>
      </c>
      <c r="F174" t="inlineStr">
        <is>
          <t>@陈佳杰</t>
        </is>
      </c>
      <c r="G174">
        <v>0</v>
      </c>
      <c r="H174" t="inlineStr">
        <is>
          <t>无法验证是否提交成功</t>
        </is>
      </c>
      <c r="I174">
        <v>9</v>
      </c>
      <c r="J174" t="inlineStr">
        <is>
          <t>Verify successful submission message is displayed after form completion</t>
        </is>
      </c>
      <c r="K174" t="inlineStr">
        <is>
          <t>验证表单填写完成后展示提交成功提示</t>
        </is>
      </c>
      <c r="L174" s="2" t="str">
        <f>=HYPERLINK("http://pre.mgx.dev/chat/98e7c2946bb64d0686354daef465b434", "http://pre.mgx.dev/chat/98e7c2946bb64d0686354daef465b434")</f>
        <v>http://pre.mgx.dev/chat/98e7c2946bb64d0686354daef465b434</v>
      </c>
      <c r="M174" s="2" t="str">
        <f>=HYPERLINK("", "https://45788-98e7c2946bb64d0686354daef465b434-3-latest.app.beta.mgx.dev")</f>
        <v>https://45788-98e7c2946bb64d0686354daef465b434-3-latest.app.beta.mgx.dev</v>
      </c>
      <c r="N174" s="2" t="str">
        <f>=HYPERLINK("mailto:eval_78@auto.com", "eval_78@auto.com")</f>
        <v>eval_78@auto.com</v>
      </c>
      <c r="O174" t="inlineStr">
        <is>
          <t>98e7c2946bb64d0686354daef465b434</t>
        </is>
      </c>
    </row>
    <row r="175" ht="25.5" customHeight="1">
      <c r="A175" t="inlineStr">
        <is>
          <t>Event Landing Page</t>
        </is>
      </c>
      <c r="B175">
        <v>14</v>
      </c>
      <c r="C175" t="inlineStr">
        <is>
          <t>@杨春玉</t>
        </is>
      </c>
      <c r="D175">
        <v>1</v>
      </c>
      <c r="E175"/>
      <c r="F175" t="inlineStr">
        <is>
          <t>@陈佳杰</t>
        </is>
      </c>
      <c r="G175">
        <v>1</v>
      </c>
      <c r="H175"/>
      <c r="I175">
        <v>10</v>
      </c>
      <c r="J175" t="inlineStr">
        <is>
          <t>Verify the online registration form is present on the page</t>
        </is>
      </c>
      <c r="K175" t="inlineStr">
        <is>
          <t>验证页面上存在在线注册表单</t>
        </is>
      </c>
      <c r="L175" s="2" t="str">
        <f>=HYPERLINK("http://pre.mgx.dev/chat/98e7c2946bb64d0686354daef465b434", "http://pre.mgx.dev/chat/98e7c2946bb64d0686354daef465b434")</f>
        <v>http://pre.mgx.dev/chat/98e7c2946bb64d0686354daef465b434</v>
      </c>
      <c r="M175" s="2" t="str">
        <f>=HYPERLINK("", "https://45788-98e7c2946bb64d0686354daef465b434-3-latest.app.beta.mgx.dev")</f>
        <v>https://45788-98e7c2946bb64d0686354daef465b434-3-latest.app.beta.mgx.dev</v>
      </c>
      <c r="N175" s="2" t="str">
        <f>=HYPERLINK("mailto:eval_78@auto.com", "eval_78@auto.com")</f>
        <v>eval_78@auto.com</v>
      </c>
      <c r="O175" t="inlineStr">
        <is>
          <t>98e7c2946bb64d0686354daef465b434</t>
        </is>
      </c>
    </row>
    <row r="176" ht="25.5" customHeight="1">
      <c r="A176" t="inlineStr">
        <is>
          <t>ExpensePlanner</t>
        </is>
      </c>
      <c r="B176">
        <v>15</v>
      </c>
      <c r="C176" t="inlineStr">
        <is>
          <t>@杨春玉</t>
        </is>
      </c>
      <c r="D176">
        <v>1</v>
      </c>
      <c r="E176"/>
      <c r="F176" t="inlineStr">
        <is>
          <t>@陈佳杰</t>
        </is>
      </c>
      <c r="G176">
        <v>1</v>
      </c>
      <c r="H176"/>
      <c r="I176">
        <v>1</v>
      </c>
      <c r="J176" t="inlineStr">
        <is>
          <t>Check if the budget settings are saved correctly after submission</t>
        </is>
      </c>
      <c r="K176" t="inlineStr">
        <is>
          <t>检查提交后预算设置是否正确保存</t>
        </is>
      </c>
      <c r="L176" s="2" t="str">
        <f>=HYPERLINK("https://atoms.dev/chat/9532b569407441e3b000c73b44776960", "https://atoms.dev/chat/9532b569407441e3b000c73b44776960")</f>
        <v>https://atoms.dev/chat/9532b569407441e3b000c73b44776960</v>
      </c>
      <c r="M176" s="2" t="str">
        <f>=HYPERLINK("https://890122-9532b569407441e3b000c73b44776960-latest-dev.dev.atoms.dev/", "https://890122-9532b569407441e3b000c73b44776960-latest-dev.dev.atoms.dev/")</f>
        <v>https://890122-9532b569407441e3b000c73b44776960-latest-dev.dev.atoms.dev/</v>
      </c>
      <c r="N176" s="2" t="str">
        <f>=HYPERLINK("http://press_test2@mgx.dev", "press_test2@mgx.dev")</f>
        <v>press_test2@mgx.dev</v>
      </c>
      <c r="O176" t="inlineStr">
        <is>
          <t>9532b569407441e3b000c73b44776960</t>
        </is>
      </c>
    </row>
    <row r="177" ht="25.5" customHeight="1">
      <c r="A177" t="inlineStr">
        <is>
          <t>ExpensePlanner</t>
        </is>
      </c>
      <c r="B177">
        <v>15</v>
      </c>
      <c r="C177" t="inlineStr">
        <is>
          <t>@杨春玉</t>
        </is>
      </c>
      <c r="D177">
        <v>1</v>
      </c>
      <c r="E177"/>
      <c r="F177" t="inlineStr">
        <is>
          <t>@陈佳杰</t>
        </is>
      </c>
      <c r="G177">
        <v>1</v>
      </c>
      <c r="H177"/>
      <c r="I177">
        <v>2</v>
      </c>
      <c r="J177" t="inlineStr">
        <is>
          <t>Check if the category field is a dropdown with common expense types</t>
        </is>
      </c>
      <c r="K177" t="inlineStr">
        <is>
          <t>检查分类字段是否为包含常见费用类型的下拉菜单</t>
        </is>
      </c>
      <c r="L177" s="2" t="str">
        <f>=HYPERLINK("https://atoms.dev/chat/9532b569407441e3b000c73b44776960", "https://atoms.dev/chat/9532b569407441e3b000c73b44776960")</f>
        <v>https://atoms.dev/chat/9532b569407441e3b000c73b44776960</v>
      </c>
      <c r="M177" s="2" t="str">
        <f>=HYPERLINK("https://890122-9532b569407441e3b000c73b44776960-latest-dev.dev.atoms.dev/", "https://890122-9532b569407441e3b000c73b44776960-latest-dev.dev.atoms.dev/")</f>
        <v>https://890122-9532b569407441e3b000c73b44776960-latest-dev.dev.atoms.dev/</v>
      </c>
      <c r="N177" s="2" t="str">
        <f>=HYPERLINK("http://press_test2@mgx.dev", "press_test2@mgx.dev")</f>
        <v>press_test2@mgx.dev</v>
      </c>
      <c r="O177" t="inlineStr">
        <is>
          <t>9532b569407441e3b000c73b44776960</t>
        </is>
      </c>
    </row>
    <row r="178" ht="25.5" customHeight="1">
      <c r="A178" t="inlineStr">
        <is>
          <t>ExpensePlanner</t>
        </is>
      </c>
      <c r="B178">
        <v>15</v>
      </c>
      <c r="C178" t="inlineStr">
        <is>
          <t>@杨春玉</t>
        </is>
      </c>
      <c r="D178">
        <v>1</v>
      </c>
      <c r="E178"/>
      <c r="F178" t="inlineStr">
        <is>
          <t>@陈佳杰</t>
        </is>
      </c>
      <c r="G178">
        <v>1</v>
      </c>
      <c r="H178"/>
      <c r="I178">
        <v>3</v>
      </c>
      <c r="J178" t="inlineStr">
        <is>
          <t>Check if the notification system works for multiple categories simultaneously</t>
        </is>
      </c>
      <c r="K178" t="inlineStr">
        <is>
          <t>检查通知系统是否可同时对多个分类生效</t>
        </is>
      </c>
      <c r="L178" s="2" t="str">
        <f>=HYPERLINK("https://atoms.dev/chat/9532b569407441e3b000c73b44776960", "https://atoms.dev/chat/9532b569407441e3b000c73b44776960")</f>
        <v>https://atoms.dev/chat/9532b569407441e3b000c73b44776960</v>
      </c>
      <c r="M178" s="2" t="str">
        <f>=HYPERLINK("https://890122-9532b569407441e3b000c73b44776960-latest-dev.dev.atoms.dev/", "https://890122-9532b569407441e3b000c73b44776960-latest-dev.dev.atoms.dev/")</f>
        <v>https://890122-9532b569407441e3b000c73b44776960-latest-dev.dev.atoms.dev/</v>
      </c>
      <c r="N178" s="2" t="str">
        <f>=HYPERLINK("http://press_test2@mgx.dev", "press_test2@mgx.dev")</f>
        <v>press_test2@mgx.dev</v>
      </c>
      <c r="O178" t="inlineStr">
        <is>
          <t>9532b569407441e3b000c73b44776960</t>
        </is>
      </c>
    </row>
    <row r="179" ht="25.5" customHeight="1">
      <c r="A179" t="inlineStr">
        <is>
          <t>ExpensePlanner</t>
        </is>
      </c>
      <c r="B179">
        <v>15</v>
      </c>
      <c r="C179" t="inlineStr">
        <is>
          <t>@杨春玉</t>
        </is>
      </c>
      <c r="D179">
        <v>1</v>
      </c>
      <c r="E179"/>
      <c r="F179" t="inlineStr">
        <is>
          <t>@陈佳杰</t>
        </is>
      </c>
      <c r="G179">
        <v>1</v>
      </c>
      <c r="H179"/>
      <c r="I179">
        <v>4</v>
      </c>
      <c r="J179" t="inlineStr">
        <is>
          <t>Test if the budget setting interface is accessible on the webpage</t>
        </is>
      </c>
      <c r="K179" t="inlineStr">
        <is>
          <t>测试网页上可访问预算设置界面</t>
        </is>
      </c>
      <c r="L179" s="2" t="str">
        <f>=HYPERLINK("https://atoms.dev/chat/9532b569407441e3b000c73b44776960", "https://atoms.dev/chat/9532b569407441e3b000c73b44776960")</f>
        <v>https://atoms.dev/chat/9532b569407441e3b000c73b44776960</v>
      </c>
      <c r="M179" s="2" t="str">
        <f>=HYPERLINK("https://890122-9532b569407441e3b000c73b44776960-latest-dev.dev.atoms.dev/", "https://890122-9532b569407441e3b000c73b44776960-latest-dev.dev.atoms.dev/")</f>
        <v>https://890122-9532b569407441e3b000c73b44776960-latest-dev.dev.atoms.dev/</v>
      </c>
      <c r="N179" s="2" t="str">
        <f>=HYPERLINK("http://press_test2@mgx.dev", "press_test2@mgx.dev")</f>
        <v>press_test2@mgx.dev</v>
      </c>
      <c r="O179" t="inlineStr">
        <is>
          <t>9532b569407441e3b000c73b44776960</t>
        </is>
      </c>
    </row>
    <row r="180" ht="25.5" customHeight="1">
      <c r="A180" t="inlineStr">
        <is>
          <t>ExpensePlanner</t>
        </is>
      </c>
      <c r="B180">
        <v>15</v>
      </c>
      <c r="C180" t="inlineStr">
        <is>
          <t>@杨春玉</t>
        </is>
      </c>
      <c r="D180">
        <v>1</v>
      </c>
      <c r="E180"/>
      <c r="F180" t="inlineStr">
        <is>
          <t>@陈佳杰</t>
        </is>
      </c>
      <c r="G180">
        <v>1</v>
      </c>
      <c r="H180"/>
      <c r="I180">
        <v>5</v>
      </c>
      <c r="J180" t="inlineStr">
        <is>
          <t>Test if the expense input form is displayed on the webpage</t>
        </is>
      </c>
      <c r="K180" t="inlineStr">
        <is>
          <t>测试网页上展示费用输入表单</t>
        </is>
      </c>
      <c r="L180" s="2" t="str">
        <f>=HYPERLINK("https://atoms.dev/chat/9532b569407441e3b000c73b44776960", "https://atoms.dev/chat/9532b569407441e3b000c73b44776960")</f>
        <v>https://atoms.dev/chat/9532b569407441e3b000c73b44776960</v>
      </c>
      <c r="M180" s="2" t="str">
        <f>=HYPERLINK("https://890122-9532b569407441e3b000c73b44776960-latest-dev.dev.atoms.dev/", "https://890122-9532b569407441e3b000c73b44776960-latest-dev.dev.atoms.dev/")</f>
        <v>https://890122-9532b569407441e3b000c73b44776960-latest-dev.dev.atoms.dev/</v>
      </c>
      <c r="N180" s="2" t="str">
        <f>=HYPERLINK("http://press_test2@mgx.dev", "press_test2@mgx.dev")</f>
        <v>press_test2@mgx.dev</v>
      </c>
      <c r="O180" t="inlineStr">
        <is>
          <t>9532b569407441e3b000c73b44776960</t>
        </is>
      </c>
    </row>
    <row r="181" ht="25.5" customHeight="1">
      <c r="A181" t="inlineStr">
        <is>
          <t>ExpensePlanner</t>
        </is>
      </c>
      <c r="B181">
        <v>15</v>
      </c>
      <c r="C181" t="inlineStr">
        <is>
          <t>@杨春玉</t>
        </is>
      </c>
      <c r="D181">
        <v>1</v>
      </c>
      <c r="E181"/>
      <c r="F181" t="inlineStr">
        <is>
          <t>@陈佳杰</t>
        </is>
      </c>
      <c r="G181">
        <v>1</v>
      </c>
      <c r="H181"/>
      <c r="I181">
        <v>6</v>
      </c>
      <c r="J181" t="inlineStr">
        <is>
          <t>Verify that the expense input form contains fields for amount, date, category, and description</t>
        </is>
      </c>
      <c r="K181" t="inlineStr">
        <is>
          <t>验证费用输入表单包含金额、日期、分类和描述字段</t>
        </is>
      </c>
      <c r="L181" s="2" t="str">
        <f>=HYPERLINK("https://atoms.dev/chat/9532b569407441e3b000c73b44776960", "https://atoms.dev/chat/9532b569407441e3b000c73b44776960")</f>
        <v>https://atoms.dev/chat/9532b569407441e3b000c73b44776960</v>
      </c>
      <c r="M181" s="2" t="str">
        <f>=HYPERLINK("https://890122-9532b569407441e3b000c73b44776960-latest-dev.dev.atoms.dev/", "https://890122-9532b569407441e3b000c73b44776960-latest-dev.dev.atoms.dev/")</f>
        <v>https://890122-9532b569407441e3b000c73b44776960-latest-dev.dev.atoms.dev/</v>
      </c>
      <c r="N181" s="2" t="str">
        <f>=HYPERLINK("http://press_test2@mgx.dev", "press_test2@mgx.dev")</f>
        <v>press_test2@mgx.dev</v>
      </c>
      <c r="O181" t="inlineStr">
        <is>
          <t>9532b569407441e3b000c73b44776960</t>
        </is>
      </c>
    </row>
    <row r="182" ht="25.5" customHeight="1">
      <c r="A182" t="inlineStr">
        <is>
          <t>ExpensePlanner</t>
        </is>
      </c>
      <c r="B182">
        <v>15</v>
      </c>
      <c r="C182" t="inlineStr">
        <is>
          <t>@杨春玉</t>
        </is>
      </c>
      <c r="D182">
        <v>1</v>
      </c>
      <c r="E182"/>
      <c r="F182" t="inlineStr">
        <is>
          <t>@陈佳杰</t>
        </is>
      </c>
      <c r="G182">
        <v>1</v>
      </c>
      <c r="H182"/>
      <c r="I182">
        <v>7</v>
      </c>
      <c r="J182" t="inlineStr">
        <is>
          <t>Verify that users can set monthly spending limits for each expense category</t>
        </is>
      </c>
      <c r="K182" t="inlineStr">
        <is>
          <t>验证用户可为每个费用类别设置月度消费限额</t>
        </is>
      </c>
      <c r="L182" s="2" t="str">
        <f>=HYPERLINK("https://atoms.dev/chat/9532b569407441e3b000c73b44776960", "https://atoms.dev/chat/9532b569407441e3b000c73b44776960")</f>
        <v>https://atoms.dev/chat/9532b569407441e3b000c73b44776960</v>
      </c>
      <c r="M182" s="2" t="str">
        <f>=HYPERLINK("https://890122-9532b569407441e3b000c73b44776960-latest-dev.dev.atoms.dev/", "https://890122-9532b569407441e3b000c73b44776960-latest-dev.dev.atoms.dev/")</f>
        <v>https://890122-9532b569407441e3b000c73b44776960-latest-dev.dev.atoms.dev/</v>
      </c>
      <c r="N182" s="2" t="str">
        <f>=HYPERLINK("http://press_test2@mgx.dev", "press_test2@mgx.dev")</f>
        <v>press_test2@mgx.dev</v>
      </c>
      <c r="O182" t="inlineStr">
        <is>
          <t>9532b569407441e3b000c73b44776960</t>
        </is>
      </c>
    </row>
    <row r="183" ht="25.5" customHeight="1">
      <c r="A183" t="inlineStr">
        <is>
          <t>Festival Planner</t>
        </is>
      </c>
      <c r="B183">
        <v>16</v>
      </c>
      <c r="C183" t="inlineStr">
        <is>
          <t>@杨春玉</t>
        </is>
      </c>
      <c r="D183">
        <v>1</v>
      </c>
      <c r="E183"/>
      <c r="F183" t="inlineStr">
        <is>
          <t>@陈佳杰</t>
        </is>
      </c>
      <c r="G183">
        <v>1</v>
      </c>
      <c r="H183"/>
      <c r="I183">
        <v>1</v>
      </c>
      <c r="J183" t="inlineStr">
        <is>
          <t>Check if the calendar for date picking works properly</t>
        </is>
      </c>
      <c r="K183" t="inlineStr">
        <is>
          <t>检查日期选择日历是否正常工作</t>
        </is>
      </c>
      <c r="L183" s="2" t="str">
        <f>=HYPERLINK("http://pre.mgx.dev/chat/d47b243bc2f84cd6bc4ebd43a552fa77", "http://pre.mgx.dev/chat/d47b243bc2f84cd6bc4ebd43a552fa77")</f>
        <v>http://pre.mgx.dev/chat/d47b243bc2f84cd6bc4ebd43a552fa77</v>
      </c>
      <c r="M183" s="2" t="str">
        <f>=HYPERLINK("", "https://45792-d47b243bc2f84cd6bc4ebd43a552fa77-3-latest.app.beta.mgx.dev")</f>
        <v>https://45792-d47b243bc2f84cd6bc4ebd43a552fa77-3-latest.app.beta.mgx.dev</v>
      </c>
      <c r="N183" s="2" t="str">
        <f>=HYPERLINK("mailto:eval_82@auto.com", "eval_82@auto.com")</f>
        <v>eval_82@auto.com</v>
      </c>
      <c r="O183" t="inlineStr">
        <is>
          <t>d47b243bc2f84cd6bc4ebd43a552fa77</t>
        </is>
      </c>
    </row>
    <row r="184" ht="25.5" customHeight="1">
      <c r="A184" t="inlineStr">
        <is>
          <t>Festival Planner</t>
        </is>
      </c>
      <c r="B184">
        <v>16</v>
      </c>
      <c r="C184" t="inlineStr">
        <is>
          <t>@杨春玉</t>
        </is>
      </c>
      <c r="D184">
        <v>1</v>
      </c>
      <c r="E184"/>
      <c r="F184" t="inlineStr">
        <is>
          <t>@陈佳杰</t>
        </is>
      </c>
      <c r="G184">
        <v>1</v>
      </c>
      <c r="H184"/>
      <c r="I184">
        <v>2</v>
      </c>
      <c r="J184" t="inlineStr">
        <is>
          <t>Confirm that users can choose a date range using the calendar</t>
        </is>
      </c>
      <c r="K184" t="inlineStr">
        <is>
          <t>确认用户可通过日历选择日期范围</t>
        </is>
      </c>
      <c r="L184" s="2" t="str">
        <f>=HYPERLINK("http://pre.mgx.dev/chat/d47b243bc2f84cd6bc4ebd43a552fa77", "http://pre.mgx.dev/chat/d47b243bc2f84cd6bc4ebd43a552fa77")</f>
        <v>http://pre.mgx.dev/chat/d47b243bc2f84cd6bc4ebd43a552fa77</v>
      </c>
      <c r="M184" s="2" t="str">
        <f>=HYPERLINK("", "https://45792-d47b243bc2f84cd6bc4ebd43a552fa77-3-latest.app.beta.mgx.dev")</f>
        <v>https://45792-d47b243bc2f84cd6bc4ebd43a552fa77-3-latest.app.beta.mgx.dev</v>
      </c>
      <c r="N184" s="2" t="str">
        <f>=HYPERLINK("mailto:eval_82@auto.com", "eval_82@auto.com")</f>
        <v>eval_82@auto.com</v>
      </c>
      <c r="O184" t="inlineStr">
        <is>
          <t>d47b243bc2f84cd6bc4ebd43a552fa77</t>
        </is>
      </c>
    </row>
    <row r="185" ht="25.5" customHeight="1">
      <c r="A185" t="inlineStr">
        <is>
          <t>Festival Planner</t>
        </is>
      </c>
      <c r="B185">
        <v>16</v>
      </c>
      <c r="C185" t="inlineStr">
        <is>
          <t>@杨春玉</t>
        </is>
      </c>
      <c r="D185">
        <v>0</v>
      </c>
      <c r="E185" t="inlineStr">
        <is>
          <t>没有交互式地图功能</t>
        </is>
      </c>
      <c r="F185" t="inlineStr">
        <is>
          <t>@陈佳杰</t>
        </is>
      </c>
      <c r="G185">
        <v>0</v>
      </c>
      <c r="H185" t="inlineStr">
        <is>
          <t>无地图</t>
        </is>
      </c>
      <c r="I185">
        <v>3</v>
      </c>
      <c r="J185" t="inlineStr">
        <is>
          <t>Ensure that users can select a festival location from the map</t>
        </is>
      </c>
      <c r="K185" t="inlineStr">
        <is>
          <t>确保用户可从地图中选择节日举办地点</t>
        </is>
      </c>
      <c r="L185" s="2" t="str">
        <f>=HYPERLINK("http://pre.mgx.dev/chat/d47b243bc2f84cd6bc4ebd43a552fa77", "http://pre.mgx.dev/chat/d47b243bc2f84cd6bc4ebd43a552fa77")</f>
        <v>http://pre.mgx.dev/chat/d47b243bc2f84cd6bc4ebd43a552fa77</v>
      </c>
      <c r="M185" s="2" t="str">
        <f>=HYPERLINK("", "https://45792-d47b243bc2f84cd6bc4ebd43a552fa77-3-latest.app.beta.mgx.dev")</f>
        <v>https://45792-d47b243bc2f84cd6bc4ebd43a552fa77-3-latest.app.beta.mgx.dev</v>
      </c>
      <c r="N185" s="2" t="str">
        <f>=HYPERLINK("mailto:eval_82@auto.com", "eval_82@auto.com")</f>
        <v>eval_82@auto.com</v>
      </c>
      <c r="O185" t="inlineStr">
        <is>
          <t>d47b243bc2f84cd6bc4ebd43a552fa77</t>
        </is>
      </c>
    </row>
    <row r="186" ht="25.5" customHeight="1">
      <c r="A186" t="inlineStr">
        <is>
          <t>Festival Planner</t>
        </is>
      </c>
      <c r="B186">
        <v>16</v>
      </c>
      <c r="C186" t="inlineStr">
        <is>
          <t>@杨春玉</t>
        </is>
      </c>
      <c r="D186">
        <v>1</v>
      </c>
      <c r="E186"/>
      <c r="F186" t="inlineStr">
        <is>
          <t>@陈佳杰</t>
        </is>
      </c>
      <c r="G186">
        <v>1</v>
      </c>
      <c r="H186"/>
      <c r="I186">
        <v>4</v>
      </c>
      <c r="J186" t="inlineStr">
        <is>
          <t>Test if the festival setup interface is displayed correctly</t>
        </is>
      </c>
      <c r="K186" t="inlineStr">
        <is>
          <t>测试节日设置界面展示正常</t>
        </is>
      </c>
      <c r="L186" s="2" t="str">
        <f>=HYPERLINK("http://pre.mgx.dev/chat/d47b243bc2f84cd6bc4ebd43a552fa77", "http://pre.mgx.dev/chat/d47b243bc2f84cd6bc4ebd43a552fa77")</f>
        <v>http://pre.mgx.dev/chat/d47b243bc2f84cd6bc4ebd43a552fa77</v>
      </c>
      <c r="M186" s="2" t="str">
        <f>=HYPERLINK("", "https://45792-d47b243bc2f84cd6bc4ebd43a552fa77-3-latest.app.beta.mgx.dev")</f>
        <v>https://45792-d47b243bc2f84cd6bc4ebd43a552fa77-3-latest.app.beta.mgx.dev</v>
      </c>
      <c r="N186" s="2" t="str">
        <f>=HYPERLINK("mailto:eval_82@auto.com", "eval_82@auto.com")</f>
        <v>eval_82@auto.com</v>
      </c>
      <c r="O186" t="inlineStr">
        <is>
          <t>d47b243bc2f84cd6bc4ebd43a552fa77</t>
        </is>
      </c>
    </row>
    <row r="187" ht="25.5" customHeight="1">
      <c r="A187" t="inlineStr">
        <is>
          <t>Festival Planner</t>
        </is>
      </c>
      <c r="B187">
        <v>16</v>
      </c>
      <c r="C187" t="inlineStr">
        <is>
          <t>@杨春玉</t>
        </is>
      </c>
      <c r="D187">
        <v>1</v>
      </c>
      <c r="E187"/>
      <c r="F187" t="inlineStr">
        <is>
          <t>@陈佳杰</t>
        </is>
      </c>
      <c r="G187">
        <v>1</v>
      </c>
      <c r="H187"/>
      <c r="I187">
        <v>5</v>
      </c>
      <c r="J187" t="inlineStr">
        <is>
          <t>Test if users can input and save an initial budget</t>
        </is>
      </c>
      <c r="K187" t="inlineStr">
        <is>
          <t>测试用户可输入并保存初始预算</t>
        </is>
      </c>
      <c r="L187" s="2" t="str">
        <f>=HYPERLINK("http://pre.mgx.dev/chat/d47b243bc2f84cd6bc4ebd43a552fa77", "http://pre.mgx.dev/chat/d47b243bc2f84cd6bc4ebd43a552fa77")</f>
        <v>http://pre.mgx.dev/chat/d47b243bc2f84cd6bc4ebd43a552fa77</v>
      </c>
      <c r="M187" s="2" t="str">
        <f>=HYPERLINK("", "https://45792-d47b243bc2f84cd6bc4ebd43a552fa77-3-latest.app.beta.mgx.dev")</f>
        <v>https://45792-d47b243bc2f84cd6bc4ebd43a552fa77-3-latest.app.beta.mgx.dev</v>
      </c>
      <c r="N187" s="2" t="str">
        <f>=HYPERLINK("mailto:eval_82@auto.com", "eval_82@auto.com")</f>
        <v>eval_82@auto.com</v>
      </c>
      <c r="O187" t="inlineStr">
        <is>
          <t>d47b243bc2f84cd6bc4ebd43a552fa77</t>
        </is>
      </c>
    </row>
    <row r="188" ht="25.5" customHeight="1">
      <c r="A188" t="inlineStr">
        <is>
          <t>Festival Planner</t>
        </is>
      </c>
      <c r="B188">
        <v>16</v>
      </c>
      <c r="C188" t="inlineStr">
        <is>
          <t>@杨春玉</t>
        </is>
      </c>
      <c r="D188">
        <v>0</v>
      </c>
      <c r="E188" t="inlineStr">
        <is>
          <t>没有交互式地图功能</t>
        </is>
      </c>
      <c r="F188" t="inlineStr">
        <is>
          <t>@陈佳杰</t>
        </is>
      </c>
      <c r="G188">
        <v>0</v>
      </c>
      <c r="H188" t="inlineStr">
        <is>
          <t>无地图</t>
        </is>
      </c>
      <c r="I188">
        <v>6</v>
      </c>
      <c r="J188" t="inlineStr">
        <is>
          <t>Verify that the interactive map for venue selection is functional</t>
        </is>
      </c>
      <c r="K188" t="inlineStr">
        <is>
          <t>验证场地选择的交互式地图功能正常</t>
        </is>
      </c>
      <c r="L188" s="2" t="str">
        <f>=HYPERLINK("http://pre.mgx.dev/chat/d47b243bc2f84cd6bc4ebd43a552fa77", "http://pre.mgx.dev/chat/d47b243bc2f84cd6bc4ebd43a552fa77")</f>
        <v>http://pre.mgx.dev/chat/d47b243bc2f84cd6bc4ebd43a552fa77</v>
      </c>
      <c r="M188" s="2" t="str">
        <f>=HYPERLINK("", "https://45792-d47b243bc2f84cd6bc4ebd43a552fa77-3-latest.app.beta.mgx.dev")</f>
        <v>https://45792-d47b243bc2f84cd6bc4ebd43a552fa77-3-latest.app.beta.mgx.dev</v>
      </c>
      <c r="N188" s="2" t="str">
        <f>=HYPERLINK("mailto:eval_82@auto.com", "eval_82@auto.com")</f>
        <v>eval_82@auto.com</v>
      </c>
      <c r="O188" t="inlineStr">
        <is>
          <t>d47b243bc2f84cd6bc4ebd43a552fa77</t>
        </is>
      </c>
    </row>
    <row r="189" ht="25.5" customHeight="1">
      <c r="A189" t="inlineStr">
        <is>
          <t>Film effect image processing website</t>
        </is>
      </c>
      <c r="B189">
        <v>17</v>
      </c>
      <c r="C189" t="inlineStr">
        <is>
          <t>@杨春玉</t>
        </is>
      </c>
      <c r="D189">
        <v>1</v>
      </c>
      <c r="E189"/>
      <c r="F189" t="inlineStr">
        <is>
          <t>@陈佳杰</t>
        </is>
      </c>
      <c r="G189">
        <v>0</v>
      </c>
      <c r="H189" t="inlineStr">
        <is>
          <t>无法导出TIFF格式</t>
        </is>
      </c>
      <c r="I189">
        <v>1</v>
      </c>
      <c r="J189" t="inlineStr">
        <is>
          <t>Check TIFF export capability</t>
        </is>
      </c>
      <c r="K189" t="inlineStr">
        <is>
          <t>检查TIFF格式导出功能</t>
        </is>
      </c>
      <c r="L189" s="2" t="str">
        <f>=HYPERLINK("http://pre.mgx.dev/chat/54552ad896c64be5a24fd89bd4f89b01", "http://pre.mgx.dev/chat/54552ad896c64be5a24fd89bd4f89b01")</f>
        <v>http://pre.mgx.dev/chat/54552ad896c64be5a24fd89bd4f89b01</v>
      </c>
      <c r="M189" s="2" t="str">
        <f>=HYPERLINK("", "https://45765-54552ad896c64be5a24fd89bd4f89b01-3-latest.app.beta.mgx.dev")</f>
        <v>https://45765-54552ad896c64be5a24fd89bd4f89b01-3-latest.app.beta.mgx.dev</v>
      </c>
      <c r="N189" s="2" t="str">
        <f>=HYPERLINK("mailto:eval_55@auto.com", "eval_55@auto.com")</f>
        <v>eval_55@auto.com</v>
      </c>
      <c r="O189" t="inlineStr">
        <is>
          <t>54552ad896c64be5a24fd89bd4f89b01</t>
        </is>
      </c>
    </row>
    <row r="190" ht="25.5" customHeight="1">
      <c r="A190" t="inlineStr">
        <is>
          <t>Film effect image processing website</t>
        </is>
      </c>
      <c r="B190">
        <v>17</v>
      </c>
      <c r="C190" t="inlineStr">
        <is>
          <t>@杨春玉</t>
        </is>
      </c>
      <c r="D190">
        <v>1</v>
      </c>
      <c r="E190"/>
      <c r="F190" t="inlineStr">
        <is>
          <t>@陈佳杰</t>
        </is>
      </c>
      <c r="G190">
        <v>1</v>
      </c>
      <c r="H190"/>
      <c r="I190">
        <v>2</v>
      </c>
      <c r="J190" t="inlineStr">
        <is>
          <t>Check if the website supports common image formats (JPEG, PNG, etc.) for upload</t>
        </is>
      </c>
      <c r="K190" t="inlineStr">
        <is>
          <t>检查网站是否支持上传常见图片格式（JPEG、PNG等）</t>
        </is>
      </c>
      <c r="L190" s="2" t="str">
        <f>=HYPERLINK("http://pre.mgx.dev/chat/54552ad896c64be5a24fd89bd4f89b01", "http://pre.mgx.dev/chat/54552ad896c64be5a24fd89bd4f89b01")</f>
        <v>http://pre.mgx.dev/chat/54552ad896c64be5a24fd89bd4f89b01</v>
      </c>
      <c r="M190" s="2" t="str">
        <f>=HYPERLINK("", "https://45765-54552ad896c64be5a24fd89bd4f89b01-3-latest.app.beta.mgx.dev")</f>
        <v>https://45765-54552ad896c64be5a24fd89bd4f89b01-3-latest.app.beta.mgx.dev</v>
      </c>
      <c r="N190" s="2" t="str">
        <f>=HYPERLINK("mailto:eval_55@auto.com", "eval_55@auto.com")</f>
        <v>eval_55@auto.com</v>
      </c>
      <c r="O190" t="inlineStr">
        <is>
          <t>54552ad896c64be5a24fd89bd4f89b01</t>
        </is>
      </c>
    </row>
    <row r="191" ht="25.5" customHeight="1">
      <c r="A191" t="inlineStr">
        <is>
          <t>Film effect image processing website</t>
        </is>
      </c>
      <c r="B191">
        <v>17</v>
      </c>
      <c r="C191" t="inlineStr">
        <is>
          <t>@杨春玉</t>
        </is>
      </c>
      <c r="D191">
        <v>1</v>
      </c>
      <c r="E191"/>
      <c r="F191" t="inlineStr">
        <is>
          <t>@陈佳杰</t>
        </is>
      </c>
      <c r="G191">
        <v>1</v>
      </c>
      <c r="H191"/>
      <c r="I191">
        <v>3</v>
      </c>
      <c r="J191" t="inlineStr">
        <is>
          <t>Check saturation adjustment capability</t>
        </is>
      </c>
      <c r="K191" t="inlineStr">
        <is>
          <t>检查饱和度调节功能</t>
        </is>
      </c>
      <c r="L191" s="2" t="str">
        <f>=HYPERLINK("http://pre.mgx.dev/chat/54552ad896c64be5a24fd89bd4f89b01", "http://pre.mgx.dev/chat/54552ad896c64be5a24fd89bd4f89b01")</f>
        <v>http://pre.mgx.dev/chat/54552ad896c64be5a24fd89bd4f89b01</v>
      </c>
      <c r="M191" s="2" t="str">
        <f>=HYPERLINK("", "https://45765-54552ad896c64be5a24fd89bd4f89b01-3-latest.app.beta.mgx.dev")</f>
        <v>https://45765-54552ad896c64be5a24fd89bd4f89b01-3-latest.app.beta.mgx.dev</v>
      </c>
      <c r="N191" s="2" t="str">
        <f>=HYPERLINK("mailto:eval_55@auto.com", "eval_55@auto.com")</f>
        <v>eval_55@auto.com</v>
      </c>
      <c r="O191" t="inlineStr">
        <is>
          <t>54552ad896c64be5a24fd89bd4f89b01</t>
        </is>
      </c>
    </row>
    <row r="192" ht="25.5" customHeight="1">
      <c r="A192" t="inlineStr">
        <is>
          <t>Film effect image processing website</t>
        </is>
      </c>
      <c r="B192">
        <v>17</v>
      </c>
      <c r="C192" t="inlineStr">
        <is>
          <t>@杨春玉</t>
        </is>
      </c>
      <c r="D192">
        <v>1</v>
      </c>
      <c r="E192"/>
      <c r="F192" t="inlineStr">
        <is>
          <t>@陈佳杰</t>
        </is>
      </c>
      <c r="G192">
        <v>1</v>
      </c>
      <c r="H192"/>
      <c r="I192">
        <v>4</v>
      </c>
      <c r="J192" t="inlineStr">
        <is>
          <t>Ensure that fine-tuning options are working correctly</t>
        </is>
      </c>
      <c r="K192" t="inlineStr">
        <is>
          <t>确保微调选项正常工作</t>
        </is>
      </c>
      <c r="L192" s="2" t="str">
        <f>=HYPERLINK("http://pre.mgx.dev/chat/54552ad896c64be5a24fd89bd4f89b01", "http://pre.mgx.dev/chat/54552ad896c64be5a24fd89bd4f89b01")</f>
        <v>http://pre.mgx.dev/chat/54552ad896c64be5a24fd89bd4f89b01</v>
      </c>
      <c r="M192" s="2" t="str">
        <f>=HYPERLINK("", "https://45765-54552ad896c64be5a24fd89bd4f89b01-3-latest.app.beta.mgx.dev")</f>
        <v>https://45765-54552ad896c64be5a24fd89bd4f89b01-3-latest.app.beta.mgx.dev</v>
      </c>
      <c r="N192" s="2" t="str">
        <f>=HYPERLINK("mailto:eval_55@auto.com", "eval_55@auto.com")</f>
        <v>eval_55@auto.com</v>
      </c>
      <c r="O192" t="inlineStr">
        <is>
          <t>54552ad896c64be5a24fd89bd4f89b01</t>
        </is>
      </c>
    </row>
    <row r="193" ht="25.5" customHeight="1">
      <c r="A193" t="inlineStr">
        <is>
          <t>Film effect image processing website</t>
        </is>
      </c>
      <c r="B193">
        <v>17</v>
      </c>
      <c r="C193" t="inlineStr">
        <is>
          <t>@杨春玉</t>
        </is>
      </c>
      <c r="D193">
        <v>1</v>
      </c>
      <c r="E193"/>
      <c r="F193" t="inlineStr">
        <is>
          <t>@陈佳杰</t>
        </is>
      </c>
      <c r="G193">
        <v>1</v>
      </c>
      <c r="H193"/>
      <c r="I193">
        <v>5</v>
      </c>
      <c r="J193" t="inlineStr">
        <is>
          <t>Test brightness adjustment functionality</t>
        </is>
      </c>
      <c r="K193" t="inlineStr">
        <is>
          <t>测试亮度调节功能</t>
        </is>
      </c>
      <c r="L193" s="2" t="str">
        <f>=HYPERLINK("http://pre.mgx.dev/chat/54552ad896c64be5a24fd89bd4f89b01", "http://pre.mgx.dev/chat/54552ad896c64be5a24fd89bd4f89b01")</f>
        <v>http://pre.mgx.dev/chat/54552ad896c64be5a24fd89bd4f89b01</v>
      </c>
      <c r="M193" s="2" t="str">
        <f>=HYPERLINK("", "https://45765-54552ad896c64be5a24fd89bd4f89b01-3-latest.app.beta.mgx.dev")</f>
        <v>https://45765-54552ad896c64be5a24fd89bd4f89b01-3-latest.app.beta.mgx.dev</v>
      </c>
      <c r="N193" s="2" t="str">
        <f>=HYPERLINK("mailto:eval_55@auto.com", "eval_55@auto.com")</f>
        <v>eval_55@auto.com</v>
      </c>
      <c r="O193" t="inlineStr">
        <is>
          <t>54552ad896c64be5a24fd89bd4f89b01</t>
        </is>
      </c>
    </row>
    <row r="194" ht="25.5" customHeight="1">
      <c r="A194" t="inlineStr">
        <is>
          <t>Film effect image processing website</t>
        </is>
      </c>
      <c r="B194">
        <v>17</v>
      </c>
      <c r="C194" t="inlineStr">
        <is>
          <t>@杨春玉</t>
        </is>
      </c>
      <c r="D194">
        <v>1</v>
      </c>
      <c r="E194"/>
      <c r="F194" t="inlineStr">
        <is>
          <t>@陈佳杰</t>
        </is>
      </c>
      <c r="G194">
        <v>1</v>
      </c>
      <c r="H194"/>
      <c r="I194">
        <v>6</v>
      </c>
      <c r="J194" t="inlineStr">
        <is>
          <t>Test drag-and-drop functionality for image upload</t>
        </is>
      </c>
      <c r="K194" t="inlineStr">
        <is>
          <t>测试图片上传的拖放功能</t>
        </is>
      </c>
      <c r="L194" s="2" t="str">
        <f>=HYPERLINK("http://pre.mgx.dev/chat/54552ad896c64be5a24fd89bd4f89b01", "http://pre.mgx.dev/chat/54552ad896c64be5a24fd89bd4f89b01")</f>
        <v>http://pre.mgx.dev/chat/54552ad896c64be5a24fd89bd4f89b01</v>
      </c>
      <c r="M194" s="2" t="str">
        <f>=HYPERLINK("", "https://45765-54552ad896c64be5a24fd89bd4f89b01-3-latest.app.beta.mgx.dev")</f>
        <v>https://45765-54552ad896c64be5a24fd89bd4f89b01-3-latest.app.beta.mgx.dev</v>
      </c>
      <c r="N194" s="2" t="str">
        <f>=HYPERLINK("mailto:eval_55@auto.com", "eval_55@auto.com")</f>
        <v>eval_55@auto.com</v>
      </c>
      <c r="O194" t="inlineStr">
        <is>
          <t>54552ad896c64be5a24fd89bd4f89b01</t>
        </is>
      </c>
    </row>
    <row r="195" ht="25.5" customHeight="1">
      <c r="A195" t="inlineStr">
        <is>
          <t>Film effect image processing website</t>
        </is>
      </c>
      <c r="B195">
        <v>17</v>
      </c>
      <c r="C195" t="inlineStr">
        <is>
          <t>@杨春玉</t>
        </is>
      </c>
      <c r="D195">
        <v>1</v>
      </c>
      <c r="E195"/>
      <c r="F195" t="inlineStr">
        <is>
          <t>@陈佳杰</t>
        </is>
      </c>
      <c r="G195">
        <v>1</v>
      </c>
      <c r="H195"/>
      <c r="I195">
        <v>7</v>
      </c>
      <c r="J195" t="inlineStr">
        <is>
          <t>Test exporting images at different quality levels</t>
        </is>
      </c>
      <c r="K195" t="inlineStr">
        <is>
          <t>测试以不同画质等级导出图片</t>
        </is>
      </c>
      <c r="L195" s="2" t="str">
        <f>=HYPERLINK("http://pre.mgx.dev/chat/54552ad896c64be5a24fd89bd4f89b01", "http://pre.mgx.dev/chat/54552ad896c64be5a24fd89bd4f89b01")</f>
        <v>http://pre.mgx.dev/chat/54552ad896c64be5a24fd89bd4f89b01</v>
      </c>
      <c r="M195" s="2" t="str">
        <f>=HYPERLINK("", "https://45765-54552ad896c64be5a24fd89bd4f89b01-3-latest.app.beta.mgx.dev")</f>
        <v>https://45765-54552ad896c64be5a24fd89bd4f89b01-3-latest.app.beta.mgx.dev</v>
      </c>
      <c r="N195" s="2" t="str">
        <f>=HYPERLINK("mailto:eval_55@auto.com", "eval_55@auto.com")</f>
        <v>eval_55@auto.com</v>
      </c>
      <c r="O195" t="inlineStr">
        <is>
          <t>54552ad896c64be5a24fd89bd4f89b01</t>
        </is>
      </c>
    </row>
    <row r="196" ht="25.5" customHeight="1">
      <c r="A196" t="inlineStr">
        <is>
          <t>Film effect image processing website</t>
        </is>
      </c>
      <c r="B196">
        <v>17</v>
      </c>
      <c r="C196" t="inlineStr">
        <is>
          <t>@杨春玉</t>
        </is>
      </c>
      <c r="D196">
        <v>1</v>
      </c>
      <c r="E196"/>
      <c r="F196" t="inlineStr">
        <is>
          <t>@陈佳杰</t>
        </is>
      </c>
      <c r="G196">
        <v>1</v>
      </c>
      <c r="H196"/>
      <c r="I196">
        <v>8</v>
      </c>
      <c r="J196" t="inlineStr">
        <is>
          <t>Test exporting images in JPEG format</t>
        </is>
      </c>
      <c r="K196" t="inlineStr">
        <is>
          <t>测试以JPEG格式导出图片</t>
        </is>
      </c>
      <c r="L196" s="2" t="str">
        <f>=HYPERLINK("http://pre.mgx.dev/chat/54552ad896c64be5a24fd89bd4f89b01", "http://pre.mgx.dev/chat/54552ad896c64be5a24fd89bd4f89b01")</f>
        <v>http://pre.mgx.dev/chat/54552ad896c64be5a24fd89bd4f89b01</v>
      </c>
      <c r="M196" s="2" t="str">
        <f>=HYPERLINK("", "https://45765-54552ad896c64be5a24fd89bd4f89b01-3-latest.app.beta.mgx.dev")</f>
        <v>https://45765-54552ad896c64be5a24fd89bd4f89b01-3-latest.app.beta.mgx.dev</v>
      </c>
      <c r="N196" s="2" t="str">
        <f>=HYPERLINK("mailto:eval_55@auto.com", "eval_55@auto.com")</f>
        <v>eval_55@auto.com</v>
      </c>
      <c r="O196" t="inlineStr">
        <is>
          <t>54552ad896c64be5a24fd89bd4f89b01</t>
        </is>
      </c>
    </row>
    <row r="197" ht="25.5" customHeight="1">
      <c r="A197" t="inlineStr">
        <is>
          <t>Film effect image processing website</t>
        </is>
      </c>
      <c r="B197">
        <v>17</v>
      </c>
      <c r="C197" t="inlineStr">
        <is>
          <t>@杨春玉</t>
        </is>
      </c>
      <c r="D197">
        <v>1</v>
      </c>
      <c r="E197"/>
      <c r="F197" t="inlineStr">
        <is>
          <t>@陈佳杰</t>
        </is>
      </c>
      <c r="G197">
        <v>1</v>
      </c>
      <c r="H197"/>
      <c r="I197">
        <v>9</v>
      </c>
      <c r="J197" t="inlineStr">
        <is>
          <t>Test if adjustments (brightness, contrast, etc.) are reflected instantly in the preview</t>
        </is>
      </c>
      <c r="K197" t="inlineStr">
        <is>
          <t>测试调节操作（亮度、对比度等）是否实时反映在预览图中</t>
        </is>
      </c>
      <c r="L197" s="2" t="str">
        <f>=HYPERLINK("http://pre.mgx.dev/chat/54552ad896c64be5a24fd89bd4f89b01", "http://pre.mgx.dev/chat/54552ad896c64be5a24fd89bd4f89b01")</f>
        <v>http://pre.mgx.dev/chat/54552ad896c64be5a24fd89bd4f89b01</v>
      </c>
      <c r="M197" s="2" t="str">
        <f>=HYPERLINK("", "https://45765-54552ad896c64be5a24fd89bd4f89b01-3-latest.app.beta.mgx.dev")</f>
        <v>https://45765-54552ad896c64be5a24fd89bd4f89b01-3-latest.app.beta.mgx.dev</v>
      </c>
      <c r="N197" s="2" t="str">
        <f>=HYPERLINK("mailto:eval_55@auto.com", "eval_55@auto.com")</f>
        <v>eval_55@auto.com</v>
      </c>
      <c r="O197" t="inlineStr">
        <is>
          <t>54552ad896c64be5a24fd89bd4f89b01</t>
        </is>
      </c>
    </row>
    <row r="198" ht="25.5" customHeight="1">
      <c r="A198" t="inlineStr">
        <is>
          <t>Film effect image processing website</t>
        </is>
      </c>
      <c r="B198">
        <v>17</v>
      </c>
      <c r="C198" t="inlineStr">
        <is>
          <t>@杨春玉</t>
        </is>
      </c>
      <c r="D198">
        <v>1</v>
      </c>
      <c r="E198"/>
      <c r="F198" t="inlineStr">
        <is>
          <t>@陈佳杰</t>
        </is>
      </c>
      <c r="G198">
        <v>1</v>
      </c>
      <c r="H198"/>
      <c r="I198">
        <v>10</v>
      </c>
      <c r="J198" t="inlineStr">
        <is>
          <t>Verify PNG export functionality</t>
        </is>
      </c>
      <c r="K198" t="inlineStr">
        <is>
          <t>验证PNG格式导出功能</t>
        </is>
      </c>
      <c r="L198" s="2" t="str">
        <f>=HYPERLINK("http://pre.mgx.dev/chat/54552ad896c64be5a24fd89bd4f89b01", "http://pre.mgx.dev/chat/54552ad896c64be5a24fd89bd4f89b01")</f>
        <v>http://pre.mgx.dev/chat/54552ad896c64be5a24fd89bd4f89b01</v>
      </c>
      <c r="M198" s="2" t="str">
        <f>=HYPERLINK("", "https://45765-54552ad896c64be5a24fd89bd4f89b01-3-latest.app.beta.mgx.dev")</f>
        <v>https://45765-54552ad896c64be5a24fd89bd4f89b01-3-latest.app.beta.mgx.dev</v>
      </c>
      <c r="N198" s="2" t="str">
        <f>=HYPERLINK("mailto:eval_55@auto.com", "eval_55@auto.com")</f>
        <v>eval_55@auto.com</v>
      </c>
      <c r="O198" t="inlineStr">
        <is>
          <t>54552ad896c64be5a24fd89bd4f89b01</t>
        </is>
      </c>
    </row>
    <row r="199" ht="25.5" customHeight="1">
      <c r="A199" t="inlineStr">
        <is>
          <t>Film effect image processing website</t>
        </is>
      </c>
      <c r="B199">
        <v>17</v>
      </c>
      <c r="C199" t="inlineStr">
        <is>
          <t>@杨春玉</t>
        </is>
      </c>
      <c r="D199">
        <v>1</v>
      </c>
      <c r="E199"/>
      <c r="F199" t="inlineStr">
        <is>
          <t>@陈佳杰</t>
        </is>
      </c>
      <c r="G199">
        <v>1</v>
      </c>
      <c r="H199"/>
      <c r="I199">
        <v>11</v>
      </c>
      <c r="J199" t="inlineStr">
        <is>
          <t>Verify contrast adjustment feature</t>
        </is>
      </c>
      <c r="K199" t="inlineStr">
        <is>
          <t>验证对比度调节功能</t>
        </is>
      </c>
      <c r="L199" s="2" t="str">
        <f>=HYPERLINK("http://pre.mgx.dev/chat/54552ad896c64be5a24fd89bd4f89b01", "http://pre.mgx.dev/chat/54552ad896c64be5a24fd89bd4f89b01")</f>
        <v>http://pre.mgx.dev/chat/54552ad896c64be5a24fd89bd4f89b01</v>
      </c>
      <c r="M199" s="2" t="str">
        <f>=HYPERLINK("", "https://45765-54552ad896c64be5a24fd89bd4f89b01-3-latest.app.beta.mgx.dev")</f>
        <v>https://45765-54552ad896c64be5a24fd89bd4f89b01-3-latest.app.beta.mgx.dev</v>
      </c>
      <c r="N199" s="2" t="str">
        <f>=HYPERLINK("mailto:eval_55@auto.com", "eval_55@auto.com")</f>
        <v>eval_55@auto.com</v>
      </c>
      <c r="O199" t="inlineStr">
        <is>
          <t>54552ad896c64be5a24fd89bd4f89b01</t>
        </is>
      </c>
    </row>
    <row r="200" ht="25.5" customHeight="1">
      <c r="A200" t="inlineStr">
        <is>
          <t>Film effect image processing website</t>
        </is>
      </c>
      <c r="B200">
        <v>17</v>
      </c>
      <c r="C200" t="inlineStr">
        <is>
          <t>@杨春玉</t>
        </is>
      </c>
      <c r="D200">
        <v>1</v>
      </c>
      <c r="E200"/>
      <c r="F200" t="inlineStr">
        <is>
          <t>@陈佳杰</t>
        </is>
      </c>
      <c r="G200">
        <v>1</v>
      </c>
      <c r="H200"/>
      <c r="I200">
        <v>12</v>
      </c>
      <c r="J200" t="inlineStr">
        <is>
          <t>Verify local file selection for image upload</t>
        </is>
      </c>
      <c r="K200" t="inlineStr">
        <is>
          <t>验证通过本地文件选择上传图片的功能</t>
        </is>
      </c>
      <c r="L200" s="2" t="str">
        <f>=HYPERLINK("http://pre.mgx.dev/chat/54552ad896c64be5a24fd89bd4f89b01", "http://pre.mgx.dev/chat/54552ad896c64be5a24fd89bd4f89b01")</f>
        <v>http://pre.mgx.dev/chat/54552ad896c64be5a24fd89bd4f89b01</v>
      </c>
      <c r="M200" s="2" t="str">
        <f>=HYPERLINK("", "https://45765-54552ad896c64be5a24fd89bd4f89b01-3-latest.app.beta.mgx.dev")</f>
        <v>https://45765-54552ad896c64be5a24fd89bd4f89b01-3-latest.app.beta.mgx.dev</v>
      </c>
      <c r="N200" s="2" t="str">
        <f>=HYPERLINK("mailto:eval_55@auto.com", "eval_55@auto.com")</f>
        <v>eval_55@auto.com</v>
      </c>
      <c r="O200" t="inlineStr">
        <is>
          <t>54552ad896c64be5a24fd89bd4f89b01</t>
        </is>
      </c>
    </row>
    <row r="201" ht="25.5" customHeight="1">
      <c r="A201" t="inlineStr">
        <is>
          <t>Film effect image processing website</t>
        </is>
      </c>
      <c r="B201">
        <v>17</v>
      </c>
      <c r="C201" t="inlineStr">
        <is>
          <t>@杨春玉</t>
        </is>
      </c>
      <c r="D201">
        <v>1</v>
      </c>
      <c r="E201"/>
      <c r="F201" t="inlineStr">
        <is>
          <t>@陈佳杰</t>
        </is>
      </c>
      <c r="G201">
        <v>1</v>
      </c>
      <c r="H201"/>
      <c r="I201">
        <v>13</v>
      </c>
      <c r="J201" t="inlineStr">
        <is>
          <t>Verify that a variety of film-style filters are available for selection</t>
        </is>
      </c>
      <c r="K201" t="inlineStr">
        <is>
          <t>验证提供多种胶片风格滤镜供选择</t>
        </is>
      </c>
      <c r="L201" s="2" t="str">
        <f>=HYPERLINK("http://pre.mgx.dev/chat/54552ad896c64be5a24fd89bd4f89b01", "http://pre.mgx.dev/chat/54552ad896c64be5a24fd89bd4f89b01")</f>
        <v>http://pre.mgx.dev/chat/54552ad896c64be5a24fd89bd4f89b01</v>
      </c>
      <c r="M201" s="2" t="str">
        <f>=HYPERLINK("", "https://45765-54552ad896c64be5a24fd89bd4f89b01-3-latest.app.beta.mgx.dev")</f>
        <v>https://45765-54552ad896c64be5a24fd89bd4f89b01-3-latest.app.beta.mgx.dev</v>
      </c>
      <c r="N201" s="2" t="str">
        <f>=HYPERLINK("mailto:eval_55@auto.com", "eval_55@auto.com")</f>
        <v>eval_55@auto.com</v>
      </c>
      <c r="O201" t="inlineStr">
        <is>
          <t>54552ad896c64be5a24fd89bd4f89b01</t>
        </is>
      </c>
    </row>
    <row r="202" ht="25.5" customHeight="1">
      <c r="A202" t="inlineStr">
        <is>
          <t>Film effect image processing website</t>
        </is>
      </c>
      <c r="B202">
        <v>17</v>
      </c>
      <c r="C202" t="inlineStr">
        <is>
          <t>@杨春玉</t>
        </is>
      </c>
      <c r="D202">
        <v>1</v>
      </c>
      <c r="E202"/>
      <c r="F202" t="inlineStr">
        <is>
          <t>@陈佳杰</t>
        </is>
      </c>
      <c r="G202">
        <v>1</v>
      </c>
      <c r="H202"/>
      <c r="I202">
        <v>14</v>
      </c>
      <c r="J202" t="inlineStr">
        <is>
          <t>Verify that exported images maintain the applied filters and adjustments</t>
        </is>
      </c>
      <c r="K202" t="inlineStr">
        <is>
          <t>验证导出的图片保留已应用的滤镜和调节效果</t>
        </is>
      </c>
      <c r="L202" s="2" t="str">
        <f>=HYPERLINK("http://pre.mgx.dev/chat/54552ad896c64be5a24fd89bd4f89b01", "http://pre.mgx.dev/chat/54552ad896c64be5a24fd89bd4f89b01")</f>
        <v>http://pre.mgx.dev/chat/54552ad896c64be5a24fd89bd4f89b01</v>
      </c>
      <c r="M202" s="2" t="str">
        <f>=HYPERLINK("", "https://45765-54552ad896c64be5a24fd89bd4f89b01-3-latest.app.beta.mgx.dev")</f>
        <v>https://45765-54552ad896c64be5a24fd89bd4f89b01-3-latest.app.beta.mgx.dev</v>
      </c>
      <c r="N202" s="2" t="str">
        <f>=HYPERLINK("mailto:eval_55@auto.com", "eval_55@auto.com")</f>
        <v>eval_55@auto.com</v>
      </c>
      <c r="O202" t="inlineStr">
        <is>
          <t>54552ad896c64be5a24fd89bd4f89b01</t>
        </is>
      </c>
    </row>
    <row r="203" ht="25.5" customHeight="1">
      <c r="A203" t="inlineStr">
        <is>
          <t>Film effect image processing website</t>
        </is>
      </c>
      <c r="B203">
        <v>17</v>
      </c>
      <c r="C203" t="inlineStr">
        <is>
          <t>@杨春玉</t>
        </is>
      </c>
      <c r="D203">
        <v>1</v>
      </c>
      <c r="E203"/>
      <c r="F203" t="inlineStr">
        <is>
          <t>@陈佳杰</t>
        </is>
      </c>
      <c r="G203">
        <v>1</v>
      </c>
      <c r="H203"/>
      <c r="I203">
        <v>15</v>
      </c>
      <c r="J203" t="inlineStr">
        <is>
          <t>Verify that filter effects are previewed in real-time when selected</t>
        </is>
      </c>
      <c r="K203" t="inlineStr">
        <is>
          <t>验证选择滤镜时实时预览滤镜效果</t>
        </is>
      </c>
      <c r="L203" s="2" t="str">
        <f>=HYPERLINK("http://pre.mgx.dev/chat/54552ad896c64be5a24fd89bd4f89b01", "http://pre.mgx.dev/chat/54552ad896c64be5a24fd89bd4f89b01")</f>
        <v>http://pre.mgx.dev/chat/54552ad896c64be5a24fd89bd4f89b01</v>
      </c>
      <c r="M203" s="2" t="str">
        <f>=HYPERLINK("", "https://45765-54552ad896c64be5a24fd89bd4f89b01-3-latest.app.beta.mgx.dev")</f>
        <v>https://45765-54552ad896c64be5a24fd89bd4f89b01-3-latest.app.beta.mgx.dev</v>
      </c>
      <c r="N203" s="2" t="str">
        <f>=HYPERLINK("mailto:eval_55@auto.com", "eval_55@auto.com")</f>
        <v>eval_55@auto.com</v>
      </c>
      <c r="O203" t="inlineStr">
        <is>
          <t>54552ad896c64be5a24fd89bd4f89b01</t>
        </is>
      </c>
    </row>
    <row r="204" ht="25.5" customHeight="1">
      <c r="A204" t="inlineStr">
        <is>
          <t>Garden View</t>
        </is>
      </c>
      <c r="B204">
        <v>18</v>
      </c>
      <c r="C204" t="inlineStr">
        <is>
          <t>@杨春玉</t>
        </is>
      </c>
      <c r="D204">
        <v>0</v>
      </c>
      <c r="E204" t="inlineStr">
        <is>
          <t>无时间筛选器功能</t>
        </is>
      </c>
      <c r="F204" t="inlineStr">
        <is>
          <t>@陈佳杰</t>
        </is>
      </c>
      <c r="G204">
        <v>0</v>
      </c>
      <c r="H204" t="inlineStr">
        <is>
          <t>缺少该功能</t>
        </is>
      </c>
      <c r="I204">
        <v>1</v>
      </c>
      <c r="J204" t="inlineStr">
        <is>
          <t>Check notes are correctly filtered when using timeline</t>
        </is>
      </c>
      <c r="K204" t="inlineStr">
        <is>
          <t>检查使用时间线筛选笔记时结果是否准确</t>
        </is>
      </c>
      <c r="L204" s="2" t="str">
        <f>=HYPERLINK("http://pre.mgx.dev/chat/e9fc71f92fa6477dafaeb4762b754ea7", "http://pre.mgx.dev/chat/e9fc71f92fa6477dafaeb4762b754ea7")</f>
        <v>http://pre.mgx.dev/chat/e9fc71f92fa6477dafaeb4762b754ea7</v>
      </c>
      <c r="M204" s="2" t="str">
        <f>=HYPERLINK("", "https://45778-e9fc71f92fa6477dafaeb4762b754ea7-3-latest.app.beta.mgx.dev")</f>
        <v>https://45778-e9fc71f92fa6477dafaeb4762b754ea7-3-latest.app.beta.mgx.dev</v>
      </c>
      <c r="N204" s="2" t="str">
        <f>=HYPERLINK("mailto:eval_68@auto.com", "eval_68@auto.com")</f>
        <v>eval_68@auto.com</v>
      </c>
      <c r="O204" t="inlineStr">
        <is>
          <t>e9fc71f92fa6477dafaeb4762b754ea7</t>
        </is>
      </c>
    </row>
    <row r="205" ht="25.5" customHeight="1">
      <c r="A205" t="inlineStr">
        <is>
          <t>Garden View</t>
        </is>
      </c>
      <c r="B205">
        <v>18</v>
      </c>
      <c r="C205" t="inlineStr">
        <is>
          <t>@杨春玉</t>
        </is>
      </c>
      <c r="D205">
        <v>0</v>
      </c>
      <c r="E205" t="inlineStr">
        <is>
          <t>内容不正确</t>
        </is>
      </c>
      <c r="F205" t="inlineStr">
        <is>
          <t>@陈佳杰</t>
        </is>
      </c>
      <c r="G205">
        <v>0</v>
      </c>
      <c r="H205" t="inlineStr">
        <is>
          <t>内容展示源代码</t>
        </is>
      </c>
      <c r="I205">
        <v>2</v>
      </c>
      <c r="J205" t="inlineStr">
        <is>
          <t>Check preview cards display correct summary or key content</t>
        </is>
      </c>
      <c r="K205" t="inlineStr">
        <is>
          <t>检查预览卡片展示的摘要或核心内容是否正确</t>
        </is>
      </c>
      <c r="L205" s="2" t="str">
        <f>=HYPERLINK("http://pre.mgx.dev/chat/e9fc71f92fa6477dafaeb4762b754ea7", "http://pre.mgx.dev/chat/e9fc71f92fa6477dafaeb4762b754ea7")</f>
        <v>http://pre.mgx.dev/chat/e9fc71f92fa6477dafaeb4762b754ea7</v>
      </c>
      <c r="M205" s="2" t="str">
        <f>=HYPERLINK("", "https://45778-e9fc71f92fa6477dafaeb4762b754ea7-3-latest.app.beta.mgx.dev")</f>
        <v>https://45778-e9fc71f92fa6477dafaeb4762b754ea7-3-latest.app.beta.mgx.dev</v>
      </c>
      <c r="N205" s="2" t="str">
        <f>=HYPERLINK("mailto:eval_68@auto.com", "eval_68@auto.com")</f>
        <v>eval_68@auto.com</v>
      </c>
      <c r="O205" t="inlineStr">
        <is>
          <t>e9fc71f92fa6477dafaeb4762b754ea7</t>
        </is>
      </c>
    </row>
    <row r="206" ht="25.5" customHeight="1">
      <c r="A206" t="inlineStr">
        <is>
          <t>Garden View</t>
        </is>
      </c>
      <c r="B206">
        <v>18</v>
      </c>
      <c r="C206" t="inlineStr">
        <is>
          <t>@杨春玉</t>
        </is>
      </c>
      <c r="D206">
        <v>0</v>
      </c>
      <c r="E206" t="inlineStr">
        <is>
          <t>未显示标签</t>
        </is>
      </c>
      <c r="F206" t="inlineStr">
        <is>
          <t>@陈佳杰</t>
        </is>
      </c>
      <c r="G206">
        <v>0</v>
      </c>
      <c r="H206" t="inlineStr">
        <is>
          <t>卡片展示源代码</t>
        </is>
      </c>
      <c r="I206">
        <v>3</v>
      </c>
      <c r="J206" t="inlineStr">
        <is>
          <t>Check tag relationship diagram is present</t>
        </is>
      </c>
      <c r="K206" t="inlineStr">
        <is>
          <t>检查是否存在标签关系图</t>
        </is>
      </c>
      <c r="L206" s="2" t="str">
        <f>=HYPERLINK("http://pre.mgx.dev/chat/e9fc71f92fa6477dafaeb4762b754ea7", "http://pre.mgx.dev/chat/e9fc71f92fa6477dafaeb4762b754ea7")</f>
        <v>http://pre.mgx.dev/chat/e9fc71f92fa6477dafaeb4762b754ea7</v>
      </c>
      <c r="M206" s="2" t="str">
        <f>=HYPERLINK("", "https://45778-e9fc71f92fa6477dafaeb4762b754ea7-3-latest.app.beta.mgx.dev")</f>
        <v>https://45778-e9fc71f92fa6477dafaeb4762b754ea7-3-latest.app.beta.mgx.dev</v>
      </c>
      <c r="N206" s="2" t="str">
        <f>=HYPERLINK("mailto:eval_68@auto.com", "eval_68@auto.com")</f>
        <v>eval_68@auto.com</v>
      </c>
      <c r="O206" t="inlineStr">
        <is>
          <t>e9fc71f92fa6477dafaeb4762b754ea7</t>
        </is>
      </c>
    </row>
    <row r="207" ht="25.5" customHeight="1">
      <c r="A207" t="inlineStr">
        <is>
          <t>Garden View</t>
        </is>
      </c>
      <c r="B207">
        <v>18</v>
      </c>
      <c r="C207" t="inlineStr">
        <is>
          <t>@杨春玉</t>
        </is>
      </c>
      <c r="D207">
        <v>1</v>
      </c>
      <c r="E207"/>
      <c r="F207" t="inlineStr">
        <is>
          <t>@陈佳杰</t>
        </is>
      </c>
      <c r="G207">
        <v>1</v>
      </c>
      <c r="H207"/>
      <c r="I207">
        <v>4</v>
      </c>
      <c r="J207" t="inlineStr">
        <is>
          <t>Check theme toggle button is present</t>
        </is>
      </c>
      <c r="K207" t="inlineStr">
        <is>
          <t>检查是否存在主题切换按钮</t>
        </is>
      </c>
      <c r="L207" s="2" t="str">
        <f>=HYPERLINK("http://pre.mgx.dev/chat/e9fc71f92fa6477dafaeb4762b754ea7", "http://pre.mgx.dev/chat/e9fc71f92fa6477dafaeb4762b754ea7")</f>
        <v>http://pre.mgx.dev/chat/e9fc71f92fa6477dafaeb4762b754ea7</v>
      </c>
      <c r="M207" s="2" t="str">
        <f>=HYPERLINK("", "https://45778-e9fc71f92fa6477dafaeb4762b754ea7-3-latest.app.beta.mgx.dev")</f>
        <v>https://45778-e9fc71f92fa6477dafaeb4762b754ea7-3-latest.app.beta.mgx.dev</v>
      </c>
      <c r="N207" s="2" t="str">
        <f>=HYPERLINK("mailto:eval_68@auto.com", "eval_68@auto.com")</f>
        <v>eval_68@auto.com</v>
      </c>
      <c r="O207" t="inlineStr">
        <is>
          <t>e9fc71f92fa6477dafaeb4762b754ea7</t>
        </is>
      </c>
    </row>
    <row r="208" ht="25.5" customHeight="1">
      <c r="A208" t="inlineStr">
        <is>
          <t>Garden View</t>
        </is>
      </c>
      <c r="B208">
        <v>18</v>
      </c>
      <c r="C208" t="inlineStr">
        <is>
          <t>@杨春玉</t>
        </is>
      </c>
      <c r="D208">
        <v>1</v>
      </c>
      <c r="E208"/>
      <c r="F208" t="inlineStr">
        <is>
          <t>@陈佳杰</t>
        </is>
      </c>
      <c r="G208">
        <v>1</v>
      </c>
      <c r="H208"/>
      <c r="I208">
        <v>5</v>
      </c>
      <c r="J208" t="inlineStr">
        <is>
          <t>Test grid layout displays all notes correctly</t>
        </is>
      </c>
      <c r="K208" t="inlineStr">
        <is>
          <t>测试网格布局正确展示所有笔记</t>
        </is>
      </c>
      <c r="L208" s="2" t="str">
        <f>=HYPERLINK("http://pre.mgx.dev/chat/e9fc71f92fa6477dafaeb4762b754ea7", "http://pre.mgx.dev/chat/e9fc71f92fa6477dafaeb4762b754ea7")</f>
        <v>http://pre.mgx.dev/chat/e9fc71f92fa6477dafaeb4762b754ea7</v>
      </c>
      <c r="M208" s="2" t="str">
        <f>=HYPERLINK("", "https://45778-e9fc71f92fa6477dafaeb4762b754ea7-3-latest.app.beta.mgx.dev")</f>
        <v>https://45778-e9fc71f92fa6477dafaeb4762b754ea7-3-latest.app.beta.mgx.dev</v>
      </c>
      <c r="N208" s="2" t="str">
        <f>=HYPERLINK("mailto:eval_68@auto.com", "eval_68@auto.com")</f>
        <v>eval_68@auto.com</v>
      </c>
      <c r="O208" t="inlineStr">
        <is>
          <t>e9fc71f92fa6477dafaeb4762b754ea7</t>
        </is>
      </c>
    </row>
    <row r="209" ht="25.5" customHeight="1">
      <c r="A209" t="inlineStr">
        <is>
          <t>Garden View</t>
        </is>
      </c>
      <c r="B209">
        <v>18</v>
      </c>
      <c r="C209" t="inlineStr">
        <is>
          <t>@杨春玉</t>
        </is>
      </c>
      <c r="D209">
        <v>1</v>
      </c>
      <c r="E209"/>
      <c r="F209" t="inlineStr">
        <is>
          <t>@陈佳杰</t>
        </is>
      </c>
      <c r="G209">
        <v>1</v>
      </c>
      <c r="H209"/>
      <c r="I209">
        <v>6</v>
      </c>
      <c r="J209" t="inlineStr">
        <is>
          <t>Test search functionality with various keywords</t>
        </is>
      </c>
      <c r="K209" t="inlineStr">
        <is>
          <t>测试使用各类关键词的搜索功能</t>
        </is>
      </c>
      <c r="L209" s="2" t="str">
        <f>=HYPERLINK("http://pre.mgx.dev/chat/e9fc71f92fa6477dafaeb4762b754ea7", "http://pre.mgx.dev/chat/e9fc71f92fa6477dafaeb4762b754ea7")</f>
        <v>http://pre.mgx.dev/chat/e9fc71f92fa6477dafaeb4762b754ea7</v>
      </c>
      <c r="M209" s="2" t="str">
        <f>=HYPERLINK("", "https://45778-e9fc71f92fa6477dafaeb4762b754ea7-3-latest.app.beta.mgx.dev")</f>
        <v>https://45778-e9fc71f92fa6477dafaeb4762b754ea7-3-latest.app.beta.mgx.dev</v>
      </c>
      <c r="N209" s="2" t="str">
        <f>=HYPERLINK("mailto:eval_68@auto.com", "eval_68@auto.com")</f>
        <v>eval_68@auto.com</v>
      </c>
      <c r="O209" t="inlineStr">
        <is>
          <t>e9fc71f92fa6477dafaeb4762b754ea7</t>
        </is>
      </c>
    </row>
    <row r="210" ht="25.5" customHeight="1">
      <c r="A210" t="inlineStr">
        <is>
          <t>Garden View</t>
        </is>
      </c>
      <c r="B210">
        <v>18</v>
      </c>
      <c r="C210" t="inlineStr">
        <is>
          <t>@杨春玉</t>
        </is>
      </c>
      <c r="D210">
        <v>0</v>
      </c>
      <c r="E210" t="inlineStr">
        <is>
          <t>无时间筛选器功能</t>
        </is>
      </c>
      <c r="F210" t="inlineStr">
        <is>
          <t>@陈佳杰</t>
        </is>
      </c>
      <c r="G210">
        <v>0</v>
      </c>
      <c r="H210" t="inlineStr">
        <is>
          <t>缺少该功能</t>
        </is>
      </c>
      <c r="I210">
        <v>7</v>
      </c>
      <c r="J210" t="inlineStr">
        <is>
          <t>Test timeline filter functionality for different time ranges</t>
        </is>
      </c>
      <c r="K210" t="inlineStr">
        <is>
          <t>测试不同时间范围的时间线筛选功能</t>
        </is>
      </c>
      <c r="L210" s="2" t="str">
        <f>=HYPERLINK("http://pre.mgx.dev/chat/e9fc71f92fa6477dafaeb4762b754ea7", "http://pre.mgx.dev/chat/e9fc71f92fa6477dafaeb4762b754ea7")</f>
        <v>http://pre.mgx.dev/chat/e9fc71f92fa6477dafaeb4762b754ea7</v>
      </c>
      <c r="M210" s="2" t="str">
        <f>=HYPERLINK("", "https://45778-e9fc71f92fa6477dafaeb4762b754ea7-3-latest.app.beta.mgx.dev")</f>
        <v>https://45778-e9fc71f92fa6477dafaeb4762b754ea7-3-latest.app.beta.mgx.dev</v>
      </c>
      <c r="N210" s="2" t="str">
        <f>=HYPERLINK("mailto:eval_68@auto.com", "eval_68@auto.com")</f>
        <v>eval_68@auto.com</v>
      </c>
      <c r="O210" t="inlineStr">
        <is>
          <t>e9fc71f92fa6477dafaeb4762b754ea7</t>
        </is>
      </c>
    </row>
    <row r="211" ht="25.5" customHeight="1">
      <c r="A211" t="inlineStr">
        <is>
          <t>Garden View</t>
        </is>
      </c>
      <c r="B211">
        <v>18</v>
      </c>
      <c r="C211" t="inlineStr">
        <is>
          <t>@杨春玉</t>
        </is>
      </c>
      <c r="D211">
        <v>1</v>
      </c>
      <c r="E211"/>
      <c r="F211" t="inlineStr">
        <is>
          <t>@陈佳杰</t>
        </is>
      </c>
      <c r="G211">
        <v>1</v>
      </c>
      <c r="H211"/>
      <c r="I211">
        <v>8</v>
      </c>
      <c r="J211" t="inlineStr">
        <is>
          <t>Verify each note has a preview card</t>
        </is>
      </c>
      <c r="K211" t="inlineStr">
        <is>
          <t>验证每条笔记均有对应的预览卡片</t>
        </is>
      </c>
      <c r="L211" s="2" t="str">
        <f>=HYPERLINK("http://pre.mgx.dev/chat/e9fc71f92fa6477dafaeb4762b754ea7", "http://pre.mgx.dev/chat/e9fc71f92fa6477dafaeb4762b754ea7")</f>
        <v>http://pre.mgx.dev/chat/e9fc71f92fa6477dafaeb4762b754ea7</v>
      </c>
      <c r="M211" s="2" t="str">
        <f>=HYPERLINK("", "https://45778-e9fc71f92fa6477dafaeb4762b754ea7-3-latest.app.beta.mgx.dev")</f>
        <v>https://45778-e9fc71f92fa6477dafaeb4762b754ea7-3-latest.app.beta.mgx.dev</v>
      </c>
      <c r="N211" s="2" t="str">
        <f>=HYPERLINK("mailto:eval_68@auto.com", "eval_68@auto.com")</f>
        <v>eval_68@auto.com</v>
      </c>
      <c r="O211" t="inlineStr">
        <is>
          <t>e9fc71f92fa6477dafaeb4762b754ea7</t>
        </is>
      </c>
    </row>
    <row r="212" ht="25.5" customHeight="1">
      <c r="A212" t="inlineStr">
        <is>
          <t>Garden View</t>
        </is>
      </c>
      <c r="B212">
        <v>18</v>
      </c>
      <c r="C212" t="inlineStr">
        <is>
          <t>@杨春玉</t>
        </is>
      </c>
      <c r="D212">
        <v>1</v>
      </c>
      <c r="E212"/>
      <c r="F212" t="inlineStr">
        <is>
          <t>@陈佳杰</t>
        </is>
      </c>
      <c r="G212">
        <v>1</v>
      </c>
      <c r="H212"/>
      <c r="I212">
        <v>9</v>
      </c>
      <c r="J212" t="inlineStr">
        <is>
          <t>Verify search box is present</t>
        </is>
      </c>
      <c r="K212" t="inlineStr">
        <is>
          <t>验证搜索框存在</t>
        </is>
      </c>
      <c r="L212" s="2" t="str">
        <f>=HYPERLINK("http://pre.mgx.dev/chat/e9fc71f92fa6477dafaeb4762b754ea7", "http://pre.mgx.dev/chat/e9fc71f92fa6477dafaeb4762b754ea7")</f>
        <v>http://pre.mgx.dev/chat/e9fc71f92fa6477dafaeb4762b754ea7</v>
      </c>
      <c r="M212" s="2" t="str">
        <f>=HYPERLINK("", "https://45778-e9fc71f92fa6477dafaeb4762b754ea7-3-latest.app.beta.mgx.dev")</f>
        <v>https://45778-e9fc71f92fa6477dafaeb4762b754ea7-3-latest.app.beta.mgx.dev</v>
      </c>
      <c r="N212" s="2" t="str">
        <f>=HYPERLINK("mailto:eval_68@auto.com", "eval_68@auto.com")</f>
        <v>eval_68@auto.com</v>
      </c>
      <c r="O212" t="inlineStr">
        <is>
          <t>e9fc71f92fa6477dafaeb4762b754ea7</t>
        </is>
      </c>
    </row>
    <row r="213" ht="25.5" customHeight="1">
      <c r="A213" t="inlineStr">
        <is>
          <t>Garden View</t>
        </is>
      </c>
      <c r="B213">
        <v>18</v>
      </c>
      <c r="C213" t="inlineStr">
        <is>
          <t>@杨春玉</t>
        </is>
      </c>
      <c r="D213">
        <v>1</v>
      </c>
      <c r="E213"/>
      <c r="F213" t="inlineStr">
        <is>
          <t>@陈佳杰</t>
        </is>
      </c>
      <c r="G213">
        <v>1</v>
      </c>
      <c r="H213"/>
      <c r="I213">
        <v>10</v>
      </c>
      <c r="J213" t="inlineStr">
        <is>
          <t>Verify search results are accurate and relevant</t>
        </is>
      </c>
      <c r="K213" t="inlineStr">
        <is>
          <t>验证搜索结果准确且相关</t>
        </is>
      </c>
      <c r="L213" s="2" t="str">
        <f>=HYPERLINK("http://pre.mgx.dev/chat/e9fc71f92fa6477dafaeb4762b754ea7", "http://pre.mgx.dev/chat/e9fc71f92fa6477dafaeb4762b754ea7")</f>
        <v>http://pre.mgx.dev/chat/e9fc71f92fa6477dafaeb4762b754ea7</v>
      </c>
      <c r="M213" s="2" t="str">
        <f>=HYPERLINK("", "https://45778-e9fc71f92fa6477dafaeb4762b754ea7-3-latest.app.beta.mgx.dev")</f>
        <v>https://45778-e9fc71f92fa6477dafaeb4762b754ea7-3-latest.app.beta.mgx.dev</v>
      </c>
      <c r="N213" s="2" t="str">
        <f>=HYPERLINK("mailto:eval_68@auto.com", "eval_68@auto.com")</f>
        <v>eval_68@auto.com</v>
      </c>
      <c r="O213" t="inlineStr">
        <is>
          <t>e9fc71f92fa6477dafaeb4762b754ea7</t>
        </is>
      </c>
    </row>
    <row r="214" ht="25.5" customHeight="1">
      <c r="A214" t="inlineStr">
        <is>
          <t>Garden View</t>
        </is>
      </c>
      <c r="B214">
        <v>18</v>
      </c>
      <c r="C214" t="inlineStr">
        <is>
          <t>@杨春玉</t>
        </is>
      </c>
      <c r="D214">
        <v>0</v>
      </c>
      <c r="E214" t="inlineStr">
        <is>
          <t>无时间筛选器功能</t>
        </is>
      </c>
      <c r="F214" t="inlineStr">
        <is>
          <t>@陈佳杰</t>
        </is>
      </c>
      <c r="G214">
        <v>0</v>
      </c>
      <c r="H214" t="inlineStr">
        <is>
          <t>缺少该功能</t>
        </is>
      </c>
      <c r="I214">
        <v>11</v>
      </c>
      <c r="J214" t="inlineStr">
        <is>
          <t>Verify timeline filter is present</t>
        </is>
      </c>
      <c r="K214" t="inlineStr">
        <is>
          <t>验证时间线筛选器存在</t>
        </is>
      </c>
      <c r="L214" s="2" t="str">
        <f>=HYPERLINK("http://pre.mgx.dev/chat/e9fc71f92fa6477dafaeb4762b754ea7", "http://pre.mgx.dev/chat/e9fc71f92fa6477dafaeb4762b754ea7")</f>
        <v>http://pre.mgx.dev/chat/e9fc71f92fa6477dafaeb4762b754ea7</v>
      </c>
      <c r="M214" s="2" t="str">
        <f>=HYPERLINK("", "https://45778-e9fc71f92fa6477dafaeb4762b754ea7-3-latest.app.beta.mgx.dev")</f>
        <v>https://45778-e9fc71f92fa6477dafaeb4762b754ea7-3-latest.app.beta.mgx.dev</v>
      </c>
      <c r="N214" s="2" t="str">
        <f>=HYPERLINK("mailto:eval_68@auto.com", "eval_68@auto.com")</f>
        <v>eval_68@auto.com</v>
      </c>
      <c r="O214" t="inlineStr">
        <is>
          <t>e9fc71f92fa6477dafaeb4762b754ea7</t>
        </is>
      </c>
    </row>
    <row r="215" ht="25.5" customHeight="1">
      <c r="A215" t="inlineStr">
        <is>
          <t>Interactive Color Palette Generator</t>
        </is>
      </c>
      <c r="B215">
        <v>19</v>
      </c>
      <c r="C215" t="inlineStr">
        <is>
          <t>@杨春玉</t>
        </is>
      </c>
      <c r="D215">
        <v>0</v>
      </c>
      <c r="E215" t="inlineStr">
        <is>
          <t>无“生成新调色板”按钮</t>
        </is>
      </c>
      <c r="F215" t="inlineStr">
        <is>
          <t>@陈佳杰</t>
        </is>
      </c>
      <c r="G215">
        <v>0</v>
      </c>
      <c r="H215" t="inlineStr">
        <is>
          <t>缺少按键</t>
        </is>
      </c>
      <c r="I215">
        <v>1</v>
      </c>
      <c r="J215" t="inlineStr">
        <is>
          <t>Test if clicking the 'Generate New Palette' button creates a new set of colors</t>
        </is>
      </c>
      <c r="K215" t="inlineStr">
        <is>
          <t>测试点击“生成新调色板”按钮是否生成新的色彩组合</t>
        </is>
      </c>
      <c r="L215" s="2" t="str">
        <f>=HYPERLINK("http://pre.mgx.dev/chat/c7395e7e49084ba6b93ad66fe2ac3c2a", "http://pre.mgx.dev/chat/c7395e7e49084ba6b93ad66fe2ac3c2a")</f>
        <v>http://pre.mgx.dev/chat/c7395e7e49084ba6b93ad66fe2ac3c2a</v>
      </c>
      <c r="M215" s="2" t="str">
        <f>=HYPERLINK("", "https://45801-c7395e7e49084ba6b93ad66fe2ac3c2a-3-latest.app.beta.mgx.dev")</f>
        <v>https://45801-c7395e7e49084ba6b93ad66fe2ac3c2a-3-latest.app.beta.mgx.dev</v>
      </c>
      <c r="N215" s="2" t="str">
        <f>=HYPERLINK("mailto:eval_91@auto.com", "eval_91@auto.com")</f>
        <v>eval_91@auto.com</v>
      </c>
      <c r="O215" t="inlineStr">
        <is>
          <t>c7395e7e49084ba6b93ad66fe2ac3c2a</t>
        </is>
      </c>
    </row>
    <row r="216" ht="25.5" customHeight="1">
      <c r="A216" t="inlineStr">
        <is>
          <t>Interactive Color Palette Generator</t>
        </is>
      </c>
      <c r="B216">
        <v>19</v>
      </c>
      <c r="C216" t="inlineStr">
        <is>
          <t>@杨春玉</t>
        </is>
      </c>
      <c r="D216">
        <v>0</v>
      </c>
      <c r="E216" t="inlineStr">
        <is>
          <t>悬停在颜色上不展示额外色彩信息</t>
        </is>
      </c>
      <c r="F216" t="inlineStr">
        <is>
          <t>@陈佳杰</t>
        </is>
      </c>
      <c r="G216">
        <v>0</v>
      </c>
      <c r="H216" t="inlineStr">
        <is>
          <t>悬停在颜色上不展示额外色彩信息</t>
        </is>
      </c>
      <c r="I216">
        <v>2</v>
      </c>
      <c r="J216" t="inlineStr">
        <is>
          <t>Test if hovering over a color displays additional color information</t>
        </is>
      </c>
      <c r="K216" t="inlineStr">
        <is>
          <t>测试鼠标悬停在颜色上是否展示额外色彩信息</t>
        </is>
      </c>
      <c r="L216" s="2" t="str">
        <f>=HYPERLINK("http://pre.mgx.dev/chat/c7395e7e49084ba6b93ad66fe2ac3c2a", "http://pre.mgx.dev/chat/c7395e7e49084ba6b93ad66fe2ac3c2a")</f>
        <v>http://pre.mgx.dev/chat/c7395e7e49084ba6b93ad66fe2ac3c2a</v>
      </c>
      <c r="M216" s="2" t="str">
        <f>=HYPERLINK("", "https://45801-c7395e7e49084ba6b93ad66fe2ac3c2a-3-latest.app.beta.mgx.dev")</f>
        <v>https://45801-c7395e7e49084ba6b93ad66fe2ac3c2a-3-latest.app.beta.mgx.dev</v>
      </c>
      <c r="N216" s="2" t="str">
        <f>=HYPERLINK("mailto:eval_91@auto.com", "eval_91@auto.com")</f>
        <v>eval_91@auto.com</v>
      </c>
      <c r="O216" t="inlineStr">
        <is>
          <t>c7395e7e49084ba6b93ad66fe2ac3c2a</t>
        </is>
      </c>
    </row>
    <row r="217" ht="25.5" customHeight="1">
      <c r="A217" t="inlineStr">
        <is>
          <t>Interactive Color Palette Generator</t>
        </is>
      </c>
      <c r="B217">
        <v>19</v>
      </c>
      <c r="C217" t="inlineStr">
        <is>
          <t>@杨春玉</t>
        </is>
      </c>
      <c r="D217">
        <v>1</v>
      </c>
      <c r="E217"/>
      <c r="F217" t="inlineStr">
        <is>
          <t>@陈佳杰</t>
        </is>
      </c>
      <c r="G217">
        <v>1</v>
      </c>
      <c r="H217"/>
      <c r="I217">
        <v>3</v>
      </c>
      <c r="J217" t="inlineStr">
        <is>
          <t>Test if the color information remains visible until user generates a new palette</t>
        </is>
      </c>
      <c r="K217" t="inlineStr">
        <is>
          <t>测试色彩信息保持可见直至用户生成新调色板</t>
        </is>
      </c>
      <c r="L217" s="2" t="str">
        <f>=HYPERLINK("http://pre.mgx.dev/chat/c7395e7e49084ba6b93ad66fe2ac3c2a", "http://pre.mgx.dev/chat/c7395e7e49084ba6b93ad66fe2ac3c2a")</f>
        <v>http://pre.mgx.dev/chat/c7395e7e49084ba6b93ad66fe2ac3c2a</v>
      </c>
      <c r="M217" s="2" t="str">
        <f>=HYPERLINK("", "https://45801-c7395e7e49084ba6b93ad66fe2ac3c2a-3-latest.app.beta.mgx.dev")</f>
        <v>https://45801-c7395e7e49084ba6b93ad66fe2ac3c2a-3-latest.app.beta.mgx.dev</v>
      </c>
      <c r="N217" s="2" t="str">
        <f>=HYPERLINK("mailto:eval_91@auto.com", "eval_91@auto.com")</f>
        <v>eval_91@auto.com</v>
      </c>
      <c r="O217" t="inlineStr">
        <is>
          <t>c7395e7e49084ba6b93ad66fe2ac3c2a</t>
        </is>
      </c>
    </row>
    <row r="218" ht="25.5" customHeight="1">
      <c r="A218" t="inlineStr">
        <is>
          <t>Interactive Color Palette Generator</t>
        </is>
      </c>
      <c r="B218">
        <v>19</v>
      </c>
      <c r="C218" t="inlineStr">
        <is>
          <t>@杨春玉</t>
        </is>
      </c>
      <c r="D218">
        <v>1</v>
      </c>
      <c r="E218"/>
      <c r="F218" t="inlineStr">
        <is>
          <t>@陈佳杰</t>
        </is>
      </c>
      <c r="G218">
        <v>1</v>
      </c>
      <c r="H218"/>
      <c r="I218">
        <v>4</v>
      </c>
      <c r="J218" t="inlineStr">
        <is>
          <t>Test if the color palette generator interface is accessible and loads properly</t>
        </is>
      </c>
      <c r="K218" t="inlineStr">
        <is>
          <t>测试调色板生成器界面可访问且加载正常</t>
        </is>
      </c>
      <c r="L218" s="2" t="str">
        <f>=HYPERLINK("http://pre.mgx.dev/chat/c7395e7e49084ba6b93ad66fe2ac3c2a", "http://pre.mgx.dev/chat/c7395e7e49084ba6b93ad66fe2ac3c2a")</f>
        <v>http://pre.mgx.dev/chat/c7395e7e49084ba6b93ad66fe2ac3c2a</v>
      </c>
      <c r="M218" s="2" t="str">
        <f>=HYPERLINK("", "https://45801-c7395e7e49084ba6b93ad66fe2ac3c2a-3-latest.app.beta.mgx.dev")</f>
        <v>https://45801-c7395e7e49084ba6b93ad66fe2ac3c2a-3-latest.app.beta.mgx.dev</v>
      </c>
      <c r="N218" s="2" t="str">
        <f>=HYPERLINK("mailto:eval_91@auto.com", "eval_91@auto.com")</f>
        <v>eval_91@auto.com</v>
      </c>
      <c r="O218" t="inlineStr">
        <is>
          <t>c7395e7e49084ba6b93ad66fe2ac3c2a</t>
        </is>
      </c>
    </row>
    <row r="219" ht="25.5" customHeight="1">
      <c r="A219" t="inlineStr">
        <is>
          <t>Interactive Color Palette Generator</t>
        </is>
      </c>
      <c r="B219">
        <v>19</v>
      </c>
      <c r="C219" t="inlineStr">
        <is>
          <t>@杨春玉</t>
        </is>
      </c>
      <c r="D219">
        <v>1</v>
      </c>
      <c r="E219"/>
      <c r="F219" t="inlineStr">
        <is>
          <t>@陈佳杰</t>
        </is>
      </c>
      <c r="G219">
        <v>1</v>
      </c>
      <c r="H219"/>
      <c r="I219">
        <v>5</v>
      </c>
      <c r="J219" t="inlineStr">
        <is>
          <t>Test if the generated colors are valid hex color codes</t>
        </is>
      </c>
      <c r="K219" t="inlineStr">
        <is>
          <t>测试生成的颜色为有效的十六进制颜色码</t>
        </is>
      </c>
      <c r="L219" s="2" t="str">
        <f>=HYPERLINK("http://pre.mgx.dev/chat/c7395e7e49084ba6b93ad66fe2ac3c2a", "http://pre.mgx.dev/chat/c7395e7e49084ba6b93ad66fe2ac3c2a")</f>
        <v>http://pre.mgx.dev/chat/c7395e7e49084ba6b93ad66fe2ac3c2a</v>
      </c>
      <c r="M219" s="2" t="str">
        <f>=HYPERLINK("", "https://45801-c7395e7e49084ba6b93ad66fe2ac3c2a-3-latest.app.beta.mgx.dev")</f>
        <v>https://45801-c7395e7e49084ba6b93ad66fe2ac3c2a-3-latest.app.beta.mgx.dev</v>
      </c>
      <c r="N219" s="2" t="str">
        <f>=HYPERLINK("mailto:eval_91@auto.com", "eval_91@auto.com")</f>
        <v>eval_91@auto.com</v>
      </c>
      <c r="O219" t="inlineStr">
        <is>
          <t>c7395e7e49084ba6b93ad66fe2ac3c2a</t>
        </is>
      </c>
    </row>
    <row r="220" ht="25.5" customHeight="1">
      <c r="A220" t="inlineStr">
        <is>
          <t>Interactive Color Palette Generator</t>
        </is>
      </c>
      <c r="B220">
        <v>19</v>
      </c>
      <c r="C220" t="inlineStr">
        <is>
          <t>@杨春玉</t>
        </is>
      </c>
      <c r="D220">
        <v>1</v>
      </c>
      <c r="E220"/>
      <c r="F220" t="inlineStr">
        <is>
          <t>@陈佳杰</t>
        </is>
      </c>
      <c r="G220">
        <v>1</v>
      </c>
      <c r="H220"/>
      <c r="I220">
        <v>6</v>
      </c>
      <c r="J220" t="inlineStr">
        <is>
          <t>Test if the hex color codes are displayed for each color in the palette</t>
        </is>
      </c>
      <c r="K220" t="inlineStr">
        <is>
          <t>测试调色板中每种颜色均展示对应的十六进制颜色码</t>
        </is>
      </c>
      <c r="L220" s="2" t="str">
        <f>=HYPERLINK("http://pre.mgx.dev/chat/c7395e7e49084ba6b93ad66fe2ac3c2a", "http://pre.mgx.dev/chat/c7395e7e49084ba6b93ad66fe2ac3c2a")</f>
        <v>http://pre.mgx.dev/chat/c7395e7e49084ba6b93ad66fe2ac3c2a</v>
      </c>
      <c r="M220" s="2" t="str">
        <f>=HYPERLINK("", "https://45801-c7395e7e49084ba6b93ad66fe2ac3c2a-3-latest.app.beta.mgx.dev")</f>
        <v>https://45801-c7395e7e49084ba6b93ad66fe2ac3c2a-3-latest.app.beta.mgx.dev</v>
      </c>
      <c r="N220" s="2" t="str">
        <f>=HYPERLINK("mailto:eval_91@auto.com", "eval_91@auto.com")</f>
        <v>eval_91@auto.com</v>
      </c>
      <c r="O220" t="inlineStr">
        <is>
          <t>c7395e7e49084ba6b93ad66fe2ac3c2a</t>
        </is>
      </c>
    </row>
    <row r="221" ht="25.5" customHeight="1">
      <c r="A221" t="inlineStr">
        <is>
          <t>Interactive Color Palette Generator</t>
        </is>
      </c>
      <c r="B221">
        <v>19</v>
      </c>
      <c r="C221" t="inlineStr">
        <is>
          <t>@杨春玉</t>
        </is>
      </c>
      <c r="D221">
        <v>1</v>
      </c>
      <c r="E221"/>
      <c r="F221" t="inlineStr">
        <is>
          <t>@陈佳杰</t>
        </is>
      </c>
      <c r="G221">
        <v>1</v>
      </c>
      <c r="H221"/>
      <c r="I221">
        <v>7</v>
      </c>
      <c r="J221" t="inlineStr">
        <is>
          <t>Verify that each color in the palette can be clicked/selected</t>
        </is>
      </c>
      <c r="K221" t="inlineStr">
        <is>
          <t>验证调色板中每种颜色均可点击/选中</t>
        </is>
      </c>
      <c r="L221" s="2" t="str">
        <f>=HYPERLINK("http://pre.mgx.dev/chat/c7395e7e49084ba6b93ad66fe2ac3c2a", "http://pre.mgx.dev/chat/c7395e7e49084ba6b93ad66fe2ac3c2a")</f>
        <v>http://pre.mgx.dev/chat/c7395e7e49084ba6b93ad66fe2ac3c2a</v>
      </c>
      <c r="M221" s="2" t="str">
        <f>=HYPERLINK("", "https://45801-c7395e7e49084ba6b93ad66fe2ac3c2a-3-latest.app.beta.mgx.dev")</f>
        <v>https://45801-c7395e7e49084ba6b93ad66fe2ac3c2a-3-latest.app.beta.mgx.dev</v>
      </c>
      <c r="N221" s="2" t="str">
        <f>=HYPERLINK("mailto:eval_91@auto.com", "eval_91@auto.com")</f>
        <v>eval_91@auto.com</v>
      </c>
      <c r="O221" t="inlineStr">
        <is>
          <t>c7395e7e49084ba6b93ad66fe2ac3c2a</t>
        </is>
      </c>
    </row>
    <row r="222" ht="25.5" customHeight="1">
      <c r="A222" t="inlineStr">
        <is>
          <t>Interactive Color Palette Generator</t>
        </is>
      </c>
      <c r="B222">
        <v>19</v>
      </c>
      <c r="C222" t="inlineStr">
        <is>
          <t>@杨春玉</t>
        </is>
      </c>
      <c r="D222">
        <v>0</v>
      </c>
      <c r="E222" t="inlineStr">
        <is>
          <t>complementary Palette调色板只有2种颜色</t>
        </is>
      </c>
      <c r="F222" t="inlineStr">
        <is>
          <t>@陈佳杰</t>
        </is>
      </c>
      <c r="G222">
        <v>1</v>
      </c>
      <c r="H222"/>
      <c r="I222">
        <v>8</v>
      </c>
      <c r="J222" t="inlineStr">
        <is>
          <t>Verify that each generated color palette contains at least 3 different colors</t>
        </is>
      </c>
      <c r="K222" t="inlineStr">
        <is>
          <t>验证每次生成的调色板至少包含3种不同颜色</t>
        </is>
      </c>
      <c r="L222" s="2" t="str">
        <f>=HYPERLINK("http://pre.mgx.dev/chat/c7395e7e49084ba6b93ad66fe2ac3c2a", "http://pre.mgx.dev/chat/c7395e7e49084ba6b93ad66fe2ac3c2a")</f>
        <v>http://pre.mgx.dev/chat/c7395e7e49084ba6b93ad66fe2ac3c2a</v>
      </c>
      <c r="M222" s="2" t="str">
        <f>=HYPERLINK("", "https://45801-c7395e7e49084ba6b93ad66fe2ac3c2a-3-latest.app.beta.mgx.dev")</f>
        <v>https://45801-c7395e7e49084ba6b93ad66fe2ac3c2a-3-latest.app.beta.mgx.dev</v>
      </c>
      <c r="N222" s="2" t="str">
        <f>=HYPERLINK("mailto:eval_91@auto.com", "eval_91@auto.com")</f>
        <v>eval_91@auto.com</v>
      </c>
      <c r="O222" t="inlineStr">
        <is>
          <t>c7395e7e49084ba6b93ad66fe2ac3c2a</t>
        </is>
      </c>
    </row>
    <row r="223" ht="25.5" customHeight="1">
      <c r="A223" t="inlineStr">
        <is>
          <t>Interactive Color Palette Generator</t>
        </is>
      </c>
      <c r="B223">
        <v>19</v>
      </c>
      <c r="C223" t="inlineStr">
        <is>
          <t>@杨春玉</t>
        </is>
      </c>
      <c r="D223">
        <v>1</v>
      </c>
      <c r="E223"/>
      <c r="F223" t="inlineStr">
        <is>
          <t>@陈佳杰</t>
        </is>
      </c>
      <c r="G223">
        <v>1</v>
      </c>
      <c r="H223"/>
      <c r="I223">
        <v>9</v>
      </c>
      <c r="J223" t="inlineStr">
        <is>
          <t>Verify that the color palette can generate multiple different combinations</t>
        </is>
      </c>
      <c r="K223" t="inlineStr">
        <is>
          <t>验证调色板生成器可生成多种不同的色彩组合</t>
        </is>
      </c>
      <c r="L223" s="2" t="str">
        <f>=HYPERLINK("http://pre.mgx.dev/chat/c7395e7e49084ba6b93ad66fe2ac3c2a", "http://pre.mgx.dev/chat/c7395e7e49084ba6b93ad66fe2ac3c2a")</f>
        <v>http://pre.mgx.dev/chat/c7395e7e49084ba6b93ad66fe2ac3c2a</v>
      </c>
      <c r="M223" s="2" t="str">
        <f>=HYPERLINK("", "https://45801-c7395e7e49084ba6b93ad66fe2ac3c2a-3-latest.app.beta.mgx.dev")</f>
        <v>https://45801-c7395e7e49084ba6b93ad66fe2ac3c2a-3-latest.app.beta.mgx.dev</v>
      </c>
      <c r="N223" s="2" t="str">
        <f>=HYPERLINK("mailto:eval_91@auto.com", "eval_91@auto.com")</f>
        <v>eval_91@auto.com</v>
      </c>
      <c r="O223" t="inlineStr">
        <is>
          <t>c7395e7e49084ba6b93ad66fe2ac3c2a</t>
        </is>
      </c>
    </row>
    <row r="224" ht="25.5" customHeight="1">
      <c r="A224" t="inlineStr">
        <is>
          <t>Interactive Color Palette Generator</t>
        </is>
      </c>
      <c r="B224">
        <v>19</v>
      </c>
      <c r="C224" t="inlineStr">
        <is>
          <t>@杨春玉</t>
        </is>
      </c>
      <c r="D224">
        <v>1</v>
      </c>
      <c r="E224"/>
      <c r="F224" t="inlineStr">
        <is>
          <t>@陈佳杰</t>
        </is>
      </c>
      <c r="G224">
        <v>1</v>
      </c>
      <c r="H224"/>
      <c r="I224">
        <v>10</v>
      </c>
      <c r="J224" t="inlineStr">
        <is>
          <t>Verify that the color palette displays a set of colors when the page loads</t>
        </is>
      </c>
      <c r="K224" t="inlineStr">
        <is>
          <t>验证页面加载时调色板展示一组色彩</t>
        </is>
      </c>
      <c r="L224" s="2" t="str">
        <f>=HYPERLINK("http://pre.mgx.dev/chat/c7395e7e49084ba6b93ad66fe2ac3c2a", "http://pre.mgx.dev/chat/c7395e7e49084ba6b93ad66fe2ac3c2a")</f>
        <v>http://pre.mgx.dev/chat/c7395e7e49084ba6b93ad66fe2ac3c2a</v>
      </c>
      <c r="M224" s="2" t="str">
        <f>=HYPERLINK("", "https://45801-c7395e7e49084ba6b93ad66fe2ac3c2a-3-latest.app.beta.mgx.dev")</f>
        <v>https://45801-c7395e7e49084ba6b93ad66fe2ac3c2a-3-latest.app.beta.mgx.dev</v>
      </c>
      <c r="N224" s="2" t="str">
        <f>=HYPERLINK("mailto:eval_91@auto.com", "eval_91@auto.com")</f>
        <v>eval_91@auto.com</v>
      </c>
      <c r="O224" t="inlineStr">
        <is>
          <t>c7395e7e49084ba6b93ad66fe2ac3c2a</t>
        </is>
      </c>
    </row>
    <row r="225" ht="25.5" customHeight="1">
      <c r="A225" t="inlineStr">
        <is>
          <t>Interactive Color Palette Generator</t>
        </is>
      </c>
      <c r="B225">
        <v>19</v>
      </c>
      <c r="C225" t="inlineStr">
        <is>
          <t>@杨春玉</t>
        </is>
      </c>
      <c r="D225">
        <v>1</v>
      </c>
      <c r="E225"/>
      <c r="F225" t="inlineStr">
        <is>
          <t>@陈佳杰</t>
        </is>
      </c>
      <c r="G225">
        <v>1</v>
      </c>
      <c r="H225"/>
      <c r="I225">
        <v>11</v>
      </c>
      <c r="J225" t="inlineStr">
        <is>
          <t>Verify that the generator works continuously for multiple successive generations</t>
        </is>
      </c>
      <c r="K225" t="inlineStr">
        <is>
          <t>验证生成器可连续多次生成调色板</t>
        </is>
      </c>
      <c r="L225" s="2" t="str">
        <f>=HYPERLINK("http://pre.mgx.dev/chat/c7395e7e49084ba6b93ad66fe2ac3c2a", "http://pre.mgx.dev/chat/c7395e7e49084ba6b93ad66fe2ac3c2a")</f>
        <v>http://pre.mgx.dev/chat/c7395e7e49084ba6b93ad66fe2ac3c2a</v>
      </c>
      <c r="M225" s="2" t="str">
        <f>=HYPERLINK("", "https://45801-c7395e7e49084ba6b93ad66fe2ac3c2a-3-latest.app.beta.mgx.dev")</f>
        <v>https://45801-c7395e7e49084ba6b93ad66fe2ac3c2a-3-latest.app.beta.mgx.dev</v>
      </c>
      <c r="N225" s="2" t="str">
        <f>=HYPERLINK("mailto:eval_91@auto.com", "eval_91@auto.com")</f>
        <v>eval_91@auto.com</v>
      </c>
      <c r="O225" t="inlineStr">
        <is>
          <t>c7395e7e49084ba6b93ad66fe2ac3c2a</t>
        </is>
      </c>
    </row>
    <row r="226" ht="25.5" customHeight="1">
      <c r="A226" t="inlineStr">
        <is>
          <t>Knowledge Hub</t>
        </is>
      </c>
      <c r="B226">
        <v>20</v>
      </c>
      <c r="C226" t="inlineStr">
        <is>
          <t>@杨春玉</t>
        </is>
      </c>
      <c r="D226">
        <v>1</v>
      </c>
      <c r="E226"/>
      <c r="F226" t="inlineStr">
        <is>
          <t>@陈佳杰</t>
        </is>
      </c>
      <c r="G226">
        <v>1</v>
      </c>
      <c r="H226"/>
      <c r="I226">
        <v>1</v>
      </c>
      <c r="J226" t="inlineStr">
        <is>
          <t>Check if directory structure accurately reflects note hierarchy</t>
        </is>
      </c>
      <c r="K226" t="inlineStr">
        <is>
          <t>检查目录结构是否准确反映笔记层级</t>
        </is>
      </c>
      <c r="L226" s="2" t="str">
        <f>=HYPERLINK("http://pre.mgx.dev/chat/3c24d8dcefaf46ff9315ecf258078785", "http://pre.mgx.dev/chat/3c24d8dcefaf46ff9315ecf258078785")</f>
        <v>http://pre.mgx.dev/chat/3c24d8dcefaf46ff9315ecf258078785</v>
      </c>
      <c r="M226" s="2" t="str">
        <f>=HYPERLINK("", "https://45784-3c24d8dcefaf46ff9315ecf258078785-3-latest.app.beta.mgx.dev")</f>
        <v>https://45784-3c24d8dcefaf46ff9315ecf258078785-3-latest.app.beta.mgx.dev</v>
      </c>
      <c r="N226" s="2" t="str">
        <f>=HYPERLINK("mailto:eval_74@auto.com", "eval_74@auto.com")</f>
        <v>eval_74@auto.com</v>
      </c>
      <c r="O226" t="inlineStr">
        <is>
          <t>3c24d8dcefaf46ff9315ecf258078785</t>
        </is>
      </c>
    </row>
    <row r="227" ht="25.5" customHeight="1">
      <c r="A227" t="inlineStr">
        <is>
          <t>Knowledge Hub</t>
        </is>
      </c>
      <c r="B227">
        <v>20</v>
      </c>
      <c r="C227" t="inlineStr">
        <is>
          <t>@杨春玉</t>
        </is>
      </c>
      <c r="D227">
        <v>1</v>
      </c>
      <c r="E227"/>
      <c r="F227" t="inlineStr">
        <is>
          <t>@陈佳杰</t>
        </is>
      </c>
      <c r="G227">
        <v>0</v>
      </c>
      <c r="H227" t="inlineStr">
        <is>
          <t>编辑完成后无法保存</t>
        </is>
      </c>
      <c r="I227">
        <v>2</v>
      </c>
      <c r="J227" t="inlineStr">
        <is>
          <t>Check if editing an existing note works properly</t>
        </is>
      </c>
      <c r="K227" t="inlineStr">
        <is>
          <t>检查编辑现有笔记的功能是否正常</t>
        </is>
      </c>
      <c r="L227" s="2" t="str">
        <f>=HYPERLINK("http://pre.mgx.dev/chat/3c24d8dcefaf46ff9315ecf258078785", "http://pre.mgx.dev/chat/3c24d8dcefaf46ff9315ecf258078785")</f>
        <v>http://pre.mgx.dev/chat/3c24d8dcefaf46ff9315ecf258078785</v>
      </c>
      <c r="M227" s="2" t="str">
        <f>=HYPERLINK("", "https://45784-3c24d8dcefaf46ff9315ecf258078785-3-latest.app.beta.mgx.dev")</f>
        <v>https://45784-3c24d8dcefaf46ff9315ecf258078785-3-latest.app.beta.mgx.dev</v>
      </c>
      <c r="N227" s="2" t="str">
        <f>=HYPERLINK("mailto:eval_74@auto.com", "eval_74@auto.com")</f>
        <v>eval_74@auto.com</v>
      </c>
      <c r="O227" t="inlineStr">
        <is>
          <t>3c24d8dcefaf46ff9315ecf258078785</t>
        </is>
      </c>
    </row>
    <row r="228" ht="25.5" customHeight="1">
      <c r="A228" t="inlineStr">
        <is>
          <t>Knowledge Hub</t>
        </is>
      </c>
      <c r="B228">
        <v>20</v>
      </c>
      <c r="C228" t="inlineStr">
        <is>
          <t>@杨春玉</t>
        </is>
      </c>
      <c r="D228">
        <v>1</v>
      </c>
      <c r="E228"/>
      <c r="F228" t="inlineStr">
        <is>
          <t>@陈佳杰</t>
        </is>
      </c>
      <c r="G228">
        <v>1</v>
      </c>
      <c r="H228"/>
      <c r="I228">
        <v>3</v>
      </c>
      <c r="J228" t="inlineStr">
        <is>
          <t>Check if filtering notes by tags works correctly</t>
        </is>
      </c>
      <c r="K228" t="inlineStr">
        <is>
          <t>检查按标签筛选笔记的功能是否正确</t>
        </is>
      </c>
      <c r="L228" s="2" t="str">
        <f>=HYPERLINK("http://pre.mgx.dev/chat/3c24d8dcefaf46ff9315ecf258078785", "http://pre.mgx.dev/chat/3c24d8dcefaf46ff9315ecf258078785")</f>
        <v>http://pre.mgx.dev/chat/3c24d8dcefaf46ff9315ecf258078785</v>
      </c>
      <c r="M228" s="2" t="str">
        <f>=HYPERLINK("", "https://45784-3c24d8dcefaf46ff9315ecf258078785-3-latest.app.beta.mgx.dev")</f>
        <v>https://45784-3c24d8dcefaf46ff9315ecf258078785-3-latest.app.beta.mgx.dev</v>
      </c>
      <c r="N228" s="2" t="str">
        <f>=HYPERLINK("mailto:eval_74@auto.com", "eval_74@auto.com")</f>
        <v>eval_74@auto.com</v>
      </c>
      <c r="O228" t="inlineStr">
        <is>
          <t>3c24d8dcefaf46ff9315ecf258078785</t>
        </is>
      </c>
    </row>
    <row r="229" ht="25.5" customHeight="1">
      <c r="A229" t="inlineStr">
        <is>
          <t>Knowledge Hub</t>
        </is>
      </c>
      <c r="B229">
        <v>20</v>
      </c>
      <c r="C229" t="inlineStr">
        <is>
          <t>@杨春玉</t>
        </is>
      </c>
      <c r="D229">
        <v>1</v>
      </c>
      <c r="E229"/>
      <c r="F229" t="inlineStr">
        <is>
          <t>@陈佳杰</t>
        </is>
      </c>
      <c r="G229">
        <v>1</v>
      </c>
      <c r="H229"/>
      <c r="I229">
        <v>4</v>
      </c>
      <c r="J229" t="inlineStr">
        <is>
          <t>Ensure links in Markdown are clickable and functional</t>
        </is>
      </c>
      <c r="K229" t="inlineStr">
        <is>
          <t>确保Markdown格式的链接可点击且功能正常</t>
        </is>
      </c>
      <c r="L229" s="2" t="str">
        <f>=HYPERLINK("http://pre.mgx.dev/chat/3c24d8dcefaf46ff9315ecf258078785", "http://pre.mgx.dev/chat/3c24d8dcefaf46ff9315ecf258078785")</f>
        <v>http://pre.mgx.dev/chat/3c24d8dcefaf46ff9315ecf258078785</v>
      </c>
      <c r="M229" s="2" t="str">
        <f>=HYPERLINK("", "https://45784-3c24d8dcefaf46ff9315ecf258078785-3-latest.app.beta.mgx.dev")</f>
        <v>https://45784-3c24d8dcefaf46ff9315ecf258078785-3-latest.app.beta.mgx.dev</v>
      </c>
      <c r="N229" s="2" t="str">
        <f>=HYPERLINK("mailto:eval_74@auto.com", "eval_74@auto.com")</f>
        <v>eval_74@auto.com</v>
      </c>
      <c r="O229" t="inlineStr">
        <is>
          <t>3c24d8dcefaf46ff9315ecf258078785</t>
        </is>
      </c>
    </row>
    <row r="230" ht="25.5" customHeight="1">
      <c r="A230" t="inlineStr">
        <is>
          <t>Knowledge Hub</t>
        </is>
      </c>
      <c r="B230">
        <v>20</v>
      </c>
      <c r="C230" t="inlineStr">
        <is>
          <t>@杨春玉</t>
        </is>
      </c>
      <c r="D230">
        <v>0</v>
      </c>
      <c r="E230" t="inlineStr">
        <is>
          <t>无法选择多个标签</t>
        </is>
      </c>
      <c r="F230" t="inlineStr">
        <is>
          <t>@陈佳杰</t>
        </is>
      </c>
      <c r="G230">
        <v>0</v>
      </c>
      <c r="H230" t="inlineStr">
        <is>
          <t>无法选择多个标签</t>
        </is>
      </c>
      <c r="I230">
        <v>5</v>
      </c>
      <c r="J230" t="inlineStr">
        <is>
          <t>Ensure multiple tag selection for filtering is functional</t>
        </is>
      </c>
      <c r="K230" t="inlineStr">
        <is>
          <t>确保多标签选择筛选功能正常</t>
        </is>
      </c>
      <c r="L230" s="2" t="str">
        <f>=HYPERLINK("http://pre.mgx.dev/chat/3c24d8dcefaf46ff9315ecf258078785", "http://pre.mgx.dev/chat/3c24d8dcefaf46ff9315ecf258078785")</f>
        <v>http://pre.mgx.dev/chat/3c24d8dcefaf46ff9315ecf258078785</v>
      </c>
      <c r="M230" s="2" t="str">
        <f>=HYPERLINK("", "https://45784-3c24d8dcefaf46ff9315ecf258078785-3-latest.app.beta.mgx.dev")</f>
        <v>https://45784-3c24d8dcefaf46ff9315ecf258078785-3-latest.app.beta.mgx.dev</v>
      </c>
      <c r="N230" s="2" t="str">
        <f>=HYPERLINK("mailto:eval_74@auto.com", "eval_74@auto.com")</f>
        <v>eval_74@auto.com</v>
      </c>
      <c r="O230" t="inlineStr">
        <is>
          <t>3c24d8dcefaf46ff9315ecf258078785</t>
        </is>
      </c>
    </row>
    <row r="231" ht="25.5" customHeight="1">
      <c r="A231" t="inlineStr">
        <is>
          <t>Knowledge Hub</t>
        </is>
      </c>
      <c r="B231">
        <v>20</v>
      </c>
      <c r="C231" t="inlineStr">
        <is>
          <t>@杨春玉</t>
        </is>
      </c>
      <c r="D231">
        <v>0</v>
      </c>
      <c r="E231" t="inlineStr">
        <is>
          <t>无该功能</t>
        </is>
      </c>
      <c r="F231" t="inlineStr">
        <is>
          <t>@陈佳杰</t>
        </is>
      </c>
      <c r="G231">
        <v>0</v>
      </c>
      <c r="H231" t="inlineStr">
        <is>
          <t>无该功能</t>
        </is>
      </c>
      <c r="I231">
        <v>6</v>
      </c>
      <c r="J231" t="inlineStr">
        <is>
          <t>Test adding tags to knowledge points</t>
        </is>
      </c>
      <c r="K231" t="inlineStr">
        <is>
          <t>测试为知识点添加标签的功能</t>
        </is>
      </c>
      <c r="L231" s="2" t="str">
        <f>=HYPERLINK("http://pre.mgx.dev/chat/3c24d8dcefaf46ff9315ecf258078785", "http://pre.mgx.dev/chat/3c24d8dcefaf46ff9315ecf258078785")</f>
        <v>http://pre.mgx.dev/chat/3c24d8dcefaf46ff9315ecf258078785</v>
      </c>
      <c r="M231" s="2" t="str">
        <f>=HYPERLINK("", "https://45784-3c24d8dcefaf46ff9315ecf258078785-3-latest.app.beta.mgx.dev")</f>
        <v>https://45784-3c24d8dcefaf46ff9315ecf258078785-3-latest.app.beta.mgx.dev</v>
      </c>
      <c r="N231" s="2" t="str">
        <f>=HYPERLINK("mailto:eval_74@auto.com", "eval_74@auto.com")</f>
        <v>eval_74@auto.com</v>
      </c>
      <c r="O231" t="inlineStr">
        <is>
          <t>3c24d8dcefaf46ff9315ecf258078785</t>
        </is>
      </c>
    </row>
    <row r="232" ht="25.5" customHeight="1">
      <c r="A232" t="inlineStr">
        <is>
          <t>Knowledge Hub</t>
        </is>
      </c>
      <c r="B232">
        <v>20</v>
      </c>
      <c r="C232" t="inlineStr">
        <is>
          <t>@杨春玉</t>
        </is>
      </c>
      <c r="D232">
        <v>0</v>
      </c>
      <c r="E232" t="inlineStr">
        <is>
          <t>无该功能</t>
        </is>
      </c>
      <c r="F232" t="inlineStr">
        <is>
          <t>@陈佳杰</t>
        </is>
      </c>
      <c r="G232">
        <v>0</v>
      </c>
      <c r="H232" t="inlineStr">
        <is>
          <t>无该功能</t>
        </is>
      </c>
      <c r="I232">
        <v>7</v>
      </c>
      <c r="J232" t="inlineStr">
        <is>
          <t>Test creating a new note in the editor</t>
        </is>
      </c>
      <c r="K232" t="inlineStr">
        <is>
          <t>测试在编辑器中创建新笔记的功能</t>
        </is>
      </c>
      <c r="L232" s="2" t="str">
        <f>=HYPERLINK("http://pre.mgx.dev/chat/3c24d8dcefaf46ff9315ecf258078785", "http://pre.mgx.dev/chat/3c24d8dcefaf46ff9315ecf258078785")</f>
        <v>http://pre.mgx.dev/chat/3c24d8dcefaf46ff9315ecf258078785</v>
      </c>
      <c r="M232" s="2" t="str">
        <f>=HYPERLINK("", "https://45784-3c24d8dcefaf46ff9315ecf258078785-3-latest.app.beta.mgx.dev")</f>
        <v>https://45784-3c24d8dcefaf46ff9315ecf258078785-3-latest.app.beta.mgx.dev</v>
      </c>
      <c r="N232" s="2" t="str">
        <f>=HYPERLINK("mailto:eval_74@auto.com", "eval_74@auto.com")</f>
        <v>eval_74@auto.com</v>
      </c>
      <c r="O232" t="inlineStr">
        <is>
          <t>3c24d8dcefaf46ff9315ecf258078785</t>
        </is>
      </c>
    </row>
    <row r="233" ht="25.5" customHeight="1">
      <c r="A233" t="inlineStr">
        <is>
          <t>Knowledge Hub</t>
        </is>
      </c>
      <c r="B233">
        <v>20</v>
      </c>
      <c r="C233" t="inlineStr">
        <is>
          <t>@杨春玉</t>
        </is>
      </c>
      <c r="D233">
        <v>0</v>
      </c>
      <c r="E233" t="inlineStr">
        <is>
          <t>展示</t>
        </is>
      </c>
      <c r="F233" t="inlineStr">
        <is>
          <t>@陈佳杰</t>
        </is>
      </c>
      <c r="G233">
        <v>1</v>
      </c>
      <c r="H233"/>
      <c r="I233">
        <v>8</v>
      </c>
      <c r="J233" t="inlineStr">
        <is>
          <t>Test directory tree display</t>
        </is>
      </c>
      <c r="K233" t="inlineStr">
        <is>
          <t>测试目录树展示效果</t>
        </is>
      </c>
      <c r="L233" s="2" t="str">
        <f>=HYPERLINK("http://pre.mgx.dev/chat/3c24d8dcefaf46ff9315ecf258078785", "http://pre.mgx.dev/chat/3c24d8dcefaf46ff9315ecf258078785")</f>
        <v>http://pre.mgx.dev/chat/3c24d8dcefaf46ff9315ecf258078785</v>
      </c>
      <c r="M233" s="2" t="str">
        <f>=HYPERLINK("", "https://45784-3c24d8dcefaf46ff9315ecf258078785-3-latest.app.beta.mgx.dev")</f>
        <v>https://45784-3c24d8dcefaf46ff9315ecf258078785-3-latest.app.beta.mgx.dev</v>
      </c>
      <c r="N233" s="2" t="str">
        <f>=HYPERLINK("mailto:eval_74@auto.com", "eval_74@auto.com")</f>
        <v>eval_74@auto.com</v>
      </c>
      <c r="O233" t="inlineStr">
        <is>
          <t>3c24d8dcefaf46ff9315ecf258078785</t>
        </is>
      </c>
    </row>
    <row r="234" ht="25.5" customHeight="1">
      <c r="A234" t="inlineStr">
        <is>
          <t>Knowledge Hub</t>
        </is>
      </c>
      <c r="B234">
        <v>20</v>
      </c>
      <c r="C234" t="inlineStr">
        <is>
          <t>@杨春玉</t>
        </is>
      </c>
      <c r="D234">
        <v>1</v>
      </c>
      <c r="E234"/>
      <c r="F234" t="inlineStr">
        <is>
          <t>@陈佳杰</t>
        </is>
      </c>
      <c r="G234">
        <v>0</v>
      </c>
      <c r="H234" t="inlineStr">
        <is>
          <t>搜索的内容较长时无法搜索到文章</t>
        </is>
      </c>
      <c r="I234">
        <v>9</v>
      </c>
      <c r="J234" t="inlineStr">
        <is>
          <t>Test full-text search functionality</t>
        </is>
      </c>
      <c r="K234" t="inlineStr">
        <is>
          <t>测试全文搜索功能</t>
        </is>
      </c>
      <c r="L234" s="2" t="str">
        <f>=HYPERLINK("http://pre.mgx.dev/chat/3c24d8dcefaf46ff9315ecf258078785", "http://pre.mgx.dev/chat/3c24d8dcefaf46ff9315ecf258078785")</f>
        <v>http://pre.mgx.dev/chat/3c24d8dcefaf46ff9315ecf258078785</v>
      </c>
      <c r="M234" s="2" t="str">
        <f>=HYPERLINK("", "https://45784-3c24d8dcefaf46ff9315ecf258078785-3-latest.app.beta.mgx.dev")</f>
        <v>https://45784-3c24d8dcefaf46ff9315ecf258078785-3-latest.app.beta.mgx.dev</v>
      </c>
      <c r="N234" s="2" t="str">
        <f>=HYPERLINK("mailto:eval_74@auto.com", "eval_74@auto.com")</f>
        <v>eval_74@auto.com</v>
      </c>
      <c r="O234" t="inlineStr">
        <is>
          <t>3c24d8dcefaf46ff9315ecf258078785</t>
        </is>
      </c>
    </row>
    <row r="235" ht="25.5" customHeight="1">
      <c r="A235" t="inlineStr">
        <is>
          <t>Knowledge Hub</t>
        </is>
      </c>
      <c r="B235">
        <v>20</v>
      </c>
      <c r="C235" t="inlineStr">
        <is>
          <t>@杨春玉</t>
        </is>
      </c>
      <c r="D235">
        <v>1</v>
      </c>
      <c r="E235"/>
      <c r="F235" t="inlineStr">
        <is>
          <t>@陈佳杰</t>
        </is>
      </c>
      <c r="G235">
        <v>1</v>
      </c>
      <c r="H235"/>
      <c r="I235">
        <v>10</v>
      </c>
      <c r="J235" t="inlineStr">
        <is>
          <t>Test link generation for note sharing</t>
        </is>
      </c>
      <c r="K235" t="inlineStr">
        <is>
          <t>测试生成笔记分享链接的功能</t>
        </is>
      </c>
      <c r="L235" s="2" t="str">
        <f>=HYPERLINK("http://pre.mgx.dev/chat/3c24d8dcefaf46ff9315ecf258078785", "http://pre.mgx.dev/chat/3c24d8dcefaf46ff9315ecf258078785")</f>
        <v>http://pre.mgx.dev/chat/3c24d8dcefaf46ff9315ecf258078785</v>
      </c>
      <c r="M235" s="2" t="str">
        <f>=HYPERLINK("", "https://45784-3c24d8dcefaf46ff9315ecf258078785-3-latest.app.beta.mgx.dev")</f>
        <v>https://45784-3c24d8dcefaf46ff9315ecf258078785-3-latest.app.beta.mgx.dev</v>
      </c>
      <c r="N235" s="2" t="str">
        <f>=HYPERLINK("mailto:eval_74@auto.com", "eval_74@auto.com")</f>
        <v>eval_74@auto.com</v>
      </c>
      <c r="O235" t="inlineStr">
        <is>
          <t>3c24d8dcefaf46ff9315ecf258078785</t>
        </is>
      </c>
    </row>
    <row r="236" ht="25.5" customHeight="1">
      <c r="A236" t="inlineStr">
        <is>
          <t>Knowledge Hub</t>
        </is>
      </c>
      <c r="B236">
        <v>20</v>
      </c>
      <c r="C236" t="inlineStr">
        <is>
          <t>@杨春玉</t>
        </is>
      </c>
      <c r="D236">
        <v>0</v>
      </c>
      <c r="E236" t="inlineStr">
        <is>
          <t>搜索功能每次输入完光标就不在输入框中</t>
        </is>
      </c>
      <c r="F236" t="inlineStr">
        <is>
          <t>@陈佳杰</t>
        </is>
      </c>
      <c r="G236">
        <v>1</v>
      </c>
      <c r="H236"/>
      <c r="I236">
        <v>11</v>
      </c>
      <c r="J236" t="inlineStr">
        <is>
          <t>Test search with various query types (single word, phrases, special characters)</t>
        </is>
      </c>
      <c r="K236" t="inlineStr">
        <is>
          <t>测试使用各类查询方式搜索（单字、短语、特殊字符）</t>
        </is>
      </c>
      <c r="L236" s="2" t="str">
        <f>=HYPERLINK("http://pre.mgx.dev/chat/3c24d8dcefaf46ff9315ecf258078785", "http://pre.mgx.dev/chat/3c24d8dcefaf46ff9315ecf258078785")</f>
        <v>http://pre.mgx.dev/chat/3c24d8dcefaf46ff9315ecf258078785</v>
      </c>
      <c r="M236" s="2" t="str">
        <f>=HYPERLINK("", "https://45784-3c24d8dcefaf46ff9315ecf258078785-3-latest.app.beta.mgx.dev")</f>
        <v>https://45784-3c24d8dcefaf46ff9315ecf258078785-3-latest.app.beta.mgx.dev</v>
      </c>
      <c r="N236" s="2" t="str">
        <f>=HYPERLINK("mailto:eval_74@auto.com", "eval_74@auto.com")</f>
        <v>eval_74@auto.com</v>
      </c>
      <c r="O236" t="inlineStr">
        <is>
          <t>3c24d8dcefaf46ff9315ecf258078785</t>
        </is>
      </c>
    </row>
    <row r="237" ht="25.5" customHeight="1">
      <c r="A237" t="inlineStr">
        <is>
          <t>Knowledge Hub</t>
        </is>
      </c>
      <c r="B237">
        <v>20</v>
      </c>
      <c r="C237" t="inlineStr">
        <is>
          <t>@杨春玉</t>
        </is>
      </c>
      <c r="D237">
        <v>1</v>
      </c>
      <c r="E237"/>
      <c r="F237" t="inlineStr">
        <is>
          <t>@陈佳杰</t>
        </is>
      </c>
      <c r="G237">
        <v>1</v>
      </c>
      <c r="H237"/>
      <c r="I237">
        <v>12</v>
      </c>
      <c r="J237" t="inlineStr">
        <is>
          <t>Test various Markdown elements (headers, lists, code blocks, etc.) for proper rendering</t>
        </is>
      </c>
      <c r="K237" t="inlineStr">
        <is>
          <t>测试各类Markdown元素（标题、列表、代码块等）的渲染效果是否正常</t>
        </is>
      </c>
      <c r="L237" s="2" t="str">
        <f>=HYPERLINK("http://pre.mgx.dev/chat/3c24d8dcefaf46ff9315ecf258078785", "http://pre.mgx.dev/chat/3c24d8dcefaf46ff9315ecf258078785")</f>
        <v>http://pre.mgx.dev/chat/3c24d8dcefaf46ff9315ecf258078785</v>
      </c>
      <c r="M237" s="2" t="str">
        <f>=HYPERLINK("", "https://45784-3c24d8dcefaf46ff9315ecf258078785-3-latest.app.beta.mgx.dev")</f>
        <v>https://45784-3c24d8dcefaf46ff9315ecf258078785-3-latest.app.beta.mgx.dev</v>
      </c>
      <c r="N237" s="2" t="str">
        <f>=HYPERLINK("mailto:eval_74@auto.com", "eval_74@auto.com")</f>
        <v>eval_74@auto.com</v>
      </c>
      <c r="O237" t="inlineStr">
        <is>
          <t>3c24d8dcefaf46ff9315ecf258078785</t>
        </is>
      </c>
    </row>
    <row r="238" ht="25.5" customHeight="1">
      <c r="A238" t="inlineStr">
        <is>
          <t>Knowledge Hub</t>
        </is>
      </c>
      <c r="B238">
        <v>20</v>
      </c>
      <c r="C238" t="inlineStr">
        <is>
          <t>@杨春玉</t>
        </is>
      </c>
      <c r="D238">
        <v>1</v>
      </c>
      <c r="E238"/>
      <c r="F238" t="inlineStr">
        <is>
          <t>@陈佳杰</t>
        </is>
      </c>
      <c r="G238">
        <v>1</v>
      </c>
      <c r="H238"/>
      <c r="I238">
        <v>13</v>
      </c>
      <c r="J238" t="inlineStr">
        <is>
          <t>Verify collapsing functionality of directory tree</t>
        </is>
      </c>
      <c r="K238" t="inlineStr">
        <is>
          <t>验证目录树的折叠功能</t>
        </is>
      </c>
      <c r="L238" s="2" t="str">
        <f>=HYPERLINK("http://pre.mgx.dev/chat/3c24d8dcefaf46ff9315ecf258078785", "http://pre.mgx.dev/chat/3c24d8dcefaf46ff9315ecf258078785")</f>
        <v>http://pre.mgx.dev/chat/3c24d8dcefaf46ff9315ecf258078785</v>
      </c>
      <c r="M238" s="2" t="str">
        <f>=HYPERLINK("", "https://45784-3c24d8dcefaf46ff9315ecf258078785-3-latest.app.beta.mgx.dev")</f>
        <v>https://45784-3c24d8dcefaf46ff9315ecf258078785-3-latest.app.beta.mgx.dev</v>
      </c>
      <c r="N238" s="2" t="str">
        <f>=HYPERLINK("mailto:eval_74@auto.com", "eval_74@auto.com")</f>
        <v>eval_74@auto.com</v>
      </c>
      <c r="O238" t="inlineStr">
        <is>
          <t>3c24d8dcefaf46ff9315ecf258078785</t>
        </is>
      </c>
    </row>
    <row r="239" ht="25.5" customHeight="1">
      <c r="A239" t="inlineStr">
        <is>
          <t>Knowledge Hub</t>
        </is>
      </c>
      <c r="B239">
        <v>20</v>
      </c>
      <c r="C239" t="inlineStr">
        <is>
          <t>@杨春玉</t>
        </is>
      </c>
      <c r="D239">
        <v>1</v>
      </c>
      <c r="E239"/>
      <c r="F239" t="inlineStr">
        <is>
          <t>@陈佳杰</t>
        </is>
      </c>
      <c r="G239">
        <v>1</v>
      </c>
      <c r="H239"/>
      <c r="I239">
        <v>14</v>
      </c>
      <c r="J239" t="inlineStr">
        <is>
          <t>Verify expanding functionality of directory tree</t>
        </is>
      </c>
      <c r="K239" t="inlineStr">
        <is>
          <t>验证目录树的展开功能</t>
        </is>
      </c>
      <c r="L239" s="2" t="str">
        <f>=HYPERLINK("http://pre.mgx.dev/chat/3c24d8dcefaf46ff9315ecf258078785", "http://pre.mgx.dev/chat/3c24d8dcefaf46ff9315ecf258078785")</f>
        <v>http://pre.mgx.dev/chat/3c24d8dcefaf46ff9315ecf258078785</v>
      </c>
      <c r="M239" s="2" t="str">
        <f>=HYPERLINK("", "https://45784-3c24d8dcefaf46ff9315ecf258078785-3-latest.app.beta.mgx.dev")</f>
        <v>https://45784-3c24d8dcefaf46ff9315ecf258078785-3-latest.app.beta.mgx.dev</v>
      </c>
      <c r="N239" s="2" t="str">
        <f>=HYPERLINK("mailto:eval_74@auto.com", "eval_74@auto.com")</f>
        <v>eval_74@auto.com</v>
      </c>
      <c r="O239" t="inlineStr">
        <is>
          <t>3c24d8dcefaf46ff9315ecf258078785</t>
        </is>
      </c>
    </row>
    <row r="240" ht="25.5" customHeight="1">
      <c r="A240" t="inlineStr">
        <is>
          <t>Knowledge Hub</t>
        </is>
      </c>
      <c r="B240">
        <v>20</v>
      </c>
      <c r="C240" t="inlineStr">
        <is>
          <t>@杨春玉</t>
        </is>
      </c>
      <c r="D240">
        <v>1</v>
      </c>
      <c r="E240"/>
      <c r="F240" t="inlineStr">
        <is>
          <t>@陈佳杰</t>
        </is>
      </c>
      <c r="G240">
        <v>1</v>
      </c>
      <c r="H240"/>
      <c r="I240">
        <v>15</v>
      </c>
      <c r="J240" t="inlineStr">
        <is>
          <t>Verify note editor loads and displays correctly</t>
        </is>
      </c>
      <c r="K240" t="inlineStr">
        <is>
          <t>验证笔记编辑器加载并展示正常</t>
        </is>
      </c>
      <c r="L240" s="2" t="str">
        <f>=HYPERLINK("http://pre.mgx.dev/chat/3c24d8dcefaf46ff9315ecf258078785", "http://pre.mgx.dev/chat/3c24d8dcefaf46ff9315ecf258078785")</f>
        <v>http://pre.mgx.dev/chat/3c24d8dcefaf46ff9315ecf258078785</v>
      </c>
      <c r="M240" s="2" t="str">
        <f>=HYPERLINK("", "https://45784-3c24d8dcefaf46ff9315ecf258078785-3-latest.app.beta.mgx.dev")</f>
        <v>https://45784-3c24d8dcefaf46ff9315ecf258078785-3-latest.app.beta.mgx.dev</v>
      </c>
      <c r="N240" s="2" t="str">
        <f>=HYPERLINK("mailto:eval_74@auto.com", "eval_74@auto.com")</f>
        <v>eval_74@auto.com</v>
      </c>
      <c r="O240" t="inlineStr">
        <is>
          <t>3c24d8dcefaf46ff9315ecf258078785</t>
        </is>
      </c>
    </row>
    <row r="241" ht="25.5" customHeight="1">
      <c r="A241" t="inlineStr">
        <is>
          <t>Knowledge Hub</t>
        </is>
      </c>
      <c r="B241">
        <v>20</v>
      </c>
      <c r="C241" t="inlineStr">
        <is>
          <t>@杨春玉</t>
        </is>
      </c>
      <c r="D241">
        <v>0</v>
      </c>
      <c r="E241" t="inlineStr">
        <is>
          <t>保存不成功</t>
        </is>
      </c>
      <c r="F241" t="inlineStr">
        <is>
          <t>@陈佳杰</t>
        </is>
      </c>
      <c r="G241">
        <v>0</v>
      </c>
      <c r="H241" t="inlineStr">
        <is>
          <t>编辑完成后无法保存</t>
        </is>
      </c>
      <c r="I241">
        <v>16</v>
      </c>
      <c r="J241" t="inlineStr">
        <is>
          <t>Verify saving functionality for both new and edited notes</t>
        </is>
      </c>
      <c r="K241" t="inlineStr">
        <is>
          <t>验证新笔记和编辑后的笔记均能正常保存</t>
        </is>
      </c>
      <c r="L241" s="2" t="str">
        <f>=HYPERLINK("http://pre.mgx.dev/chat/3c24d8dcefaf46ff9315ecf258078785", "http://pre.mgx.dev/chat/3c24d8dcefaf46ff9315ecf258078785")</f>
        <v>http://pre.mgx.dev/chat/3c24d8dcefaf46ff9315ecf258078785</v>
      </c>
      <c r="M241" s="2" t="str">
        <f>=HYPERLINK("", "https://45784-3c24d8dcefaf46ff9315ecf258078785-3-latest.app.beta.mgx.dev")</f>
        <v>https://45784-3c24d8dcefaf46ff9315ecf258078785-3-latest.app.beta.mgx.dev</v>
      </c>
      <c r="N241" s="2" t="str">
        <f>=HYPERLINK("mailto:eval_74@auto.com", "eval_74@auto.com")</f>
        <v>eval_74@auto.com</v>
      </c>
      <c r="O241" t="inlineStr">
        <is>
          <t>3c24d8dcefaf46ff9315ecf258078785</t>
        </is>
      </c>
    </row>
    <row r="242" ht="25.5" customHeight="1">
      <c r="A242" t="inlineStr">
        <is>
          <t>Knowledge Hub</t>
        </is>
      </c>
      <c r="B242">
        <v>20</v>
      </c>
      <c r="C242" t="inlineStr">
        <is>
          <t>@杨春玉</t>
        </is>
      </c>
      <c r="D242">
        <v>1</v>
      </c>
      <c r="E242"/>
      <c r="F242" t="inlineStr">
        <is>
          <t>@陈佳杰</t>
        </is>
      </c>
      <c r="G242">
        <v>1</v>
      </c>
      <c r="H242"/>
      <c r="I242">
        <v>17</v>
      </c>
      <c r="J242" t="inlineStr">
        <is>
          <t>Verify search results accuracy</t>
        </is>
      </c>
      <c r="K242" t="inlineStr">
        <is>
          <t>验证搜索结果的准确性</t>
        </is>
      </c>
      <c r="L242" s="2" t="str">
        <f>=HYPERLINK("http://pre.mgx.dev/chat/3c24d8dcefaf46ff9315ecf258078785", "http://pre.mgx.dev/chat/3c24d8dcefaf46ff9315ecf258078785")</f>
        <v>http://pre.mgx.dev/chat/3c24d8dcefaf46ff9315ecf258078785</v>
      </c>
      <c r="M242" s="2" t="str">
        <f>=HYPERLINK("", "https://45784-3c24d8dcefaf46ff9315ecf258078785-3-latest.app.beta.mgx.dev")</f>
        <v>https://45784-3c24d8dcefaf46ff9315ecf258078785-3-latest.app.beta.mgx.dev</v>
      </c>
      <c r="N242" s="2" t="str">
        <f>=HYPERLINK("mailto:eval_74@auto.com", "eval_74@auto.com")</f>
        <v>eval_74@auto.com</v>
      </c>
      <c r="O242" t="inlineStr">
        <is>
          <t>3c24d8dcefaf46ff9315ecf258078785</t>
        </is>
      </c>
    </row>
    <row r="243" ht="25.5" customHeight="1">
      <c r="A243" t="inlineStr">
        <is>
          <t>KnowledgeSource</t>
        </is>
      </c>
      <c r="B243">
        <v>21</v>
      </c>
      <c r="C243" t="inlineStr">
        <is>
          <t>@杨春玉</t>
        </is>
      </c>
      <c r="D243">
        <v>1</v>
      </c>
      <c r="E243"/>
      <c r="F243" t="inlineStr">
        <is>
          <t>@陈佳杰</t>
        </is>
      </c>
      <c r="G243">
        <v>1</v>
      </c>
      <c r="H243"/>
      <c r="I243">
        <v>1</v>
      </c>
      <c r="J243" t="inlineStr">
        <is>
          <t>Check bookmark feature in resource viewer</t>
        </is>
      </c>
      <c r="K243" t="inlineStr">
        <is>
          <t>检查资源查看器中的书签功能</t>
        </is>
      </c>
      <c r="L243" s="2" t="str">
        <f>=HYPERLINK("https://atoms.dev/chat/f929fce2c36c4020a2fb69fdf4308ab2", "https://atoms.dev/chat/f929fce2c36c4020a2fb69fdf4308ab2")</f>
        <v>https://atoms.dev/chat/f929fce2c36c4020a2fb69fdf4308ab2</v>
      </c>
      <c r="M243" s="2" t="str">
        <f>=HYPERLINK("https://890131-f929fce2c36c4020a2fb69fdf4308ab2-latest-dev.dev.atoms.dev/", "https://890131-f929fce2c36c4020a2fb69fdf4308ab2-latest-dev.dev.atoms.dev/")</f>
        <v>https://890131-f929fce2c36c4020a2fb69fdf4308ab2-latest-dev.dev.atoms.dev/</v>
      </c>
      <c r="N243" s="2" t="str">
        <f>=HYPERLINK("http://press_test9@mgx.dev", "press_test9@mgx.dev")</f>
        <v>press_test9@mgx.dev</v>
      </c>
      <c r="O243" t="inlineStr">
        <is>
          <t>f929fce2c36c4020a2fb69fdf4308ab2</t>
        </is>
      </c>
    </row>
    <row r="244" ht="25.5" customHeight="1">
      <c r="A244" t="inlineStr">
        <is>
          <t>KnowledgeSource</t>
        </is>
      </c>
      <c r="B244">
        <v>21</v>
      </c>
      <c r="C244" t="inlineStr">
        <is>
          <t>@杨春玉</t>
        </is>
      </c>
      <c r="D244">
        <v>1</v>
      </c>
      <c r="E244"/>
      <c r="F244" t="inlineStr">
        <is>
          <t>@陈佳杰</t>
        </is>
      </c>
      <c r="G244">
        <v>1</v>
      </c>
      <c r="H244"/>
      <c r="I244">
        <v>2</v>
      </c>
      <c r="J244" t="inlineStr">
        <is>
          <t>Check presence of category browsing system</t>
        </is>
      </c>
      <c r="K244" t="inlineStr">
        <is>
          <t>检查是否存在分类浏览系统</t>
        </is>
      </c>
      <c r="L244" s="2" t="str">
        <f>=HYPERLINK("https://atoms.dev/chat/f929fce2c36c4020a2fb69fdf4308ab2", "https://atoms.dev/chat/f929fce2c36c4020a2fb69fdf4308ab2")</f>
        <v>https://atoms.dev/chat/f929fce2c36c4020a2fb69fdf4308ab2</v>
      </c>
      <c r="M244" s="2" t="str">
        <f>=HYPERLINK("https://890131-f929fce2c36c4020a2fb69fdf4308ab2-latest-dev.dev.atoms.dev/", "https://890131-f929fce2c36c4020a2fb69fdf4308ab2-latest-dev.dev.atoms.dev/")</f>
        <v>https://890131-f929fce2c36c4020a2fb69fdf4308ab2-latest-dev.dev.atoms.dev/</v>
      </c>
      <c r="N244" s="2" t="str">
        <f>=HYPERLINK("http://press_test9@mgx.dev", "press_test9@mgx.dev")</f>
        <v>press_test9@mgx.dev</v>
      </c>
      <c r="O244" t="inlineStr">
        <is>
          <t>f929fce2c36c4020a2fb69fdf4308ab2</t>
        </is>
      </c>
    </row>
    <row r="245" ht="25.5" customHeight="1">
      <c r="A245" t="inlineStr">
        <is>
          <t>KnowledgeSource</t>
        </is>
      </c>
      <c r="B245">
        <v>21</v>
      </c>
      <c r="C245" t="inlineStr">
        <is>
          <t>@杨春玉</t>
        </is>
      </c>
      <c r="D245">
        <v>1</v>
      </c>
      <c r="E245"/>
      <c r="F245" t="inlineStr">
        <is>
          <t>@陈佳杰</t>
        </is>
      </c>
      <c r="G245">
        <v>1</v>
      </c>
      <c r="H245"/>
      <c r="I245">
        <v>3</v>
      </c>
      <c r="J245" t="inlineStr">
        <is>
          <t>Confirm keyword search functionality</t>
        </is>
      </c>
      <c r="K245" t="inlineStr">
        <is>
          <t>确认关键词搜索功能</t>
        </is>
      </c>
      <c r="L245" s="2" t="str">
        <f>=HYPERLINK("https://atoms.dev/chat/f929fce2c36c4020a2fb69fdf4308ab2", "https://atoms.dev/chat/f929fce2c36c4020a2fb69fdf4308ab2")</f>
        <v>https://atoms.dev/chat/f929fce2c36c4020a2fb69fdf4308ab2</v>
      </c>
      <c r="M245" s="2" t="str">
        <f>=HYPERLINK("https://890131-f929fce2c36c4020a2fb69fdf4308ab2-latest-dev.dev.atoms.dev/", "https://890131-f929fce2c36c4020a2fb69fdf4308ab2-latest-dev.dev.atoms.dev/")</f>
        <v>https://890131-f929fce2c36c4020a2fb69fdf4308ab2-latest-dev.dev.atoms.dev/</v>
      </c>
      <c r="N245" s="2" t="str">
        <f>=HYPERLINK("http://press_test9@mgx.dev", "press_test9@mgx.dev")</f>
        <v>press_test9@mgx.dev</v>
      </c>
      <c r="O245" t="inlineStr">
        <is>
          <t>f929fce2c36c4020a2fb69fdf4308ab2</t>
        </is>
      </c>
    </row>
    <row r="246" ht="25.5" customHeight="1">
      <c r="A246" t="inlineStr">
        <is>
          <t>KnowledgeSource</t>
        </is>
      </c>
      <c r="B246">
        <v>21</v>
      </c>
      <c r="C246" t="inlineStr">
        <is>
          <t>@杨春玉</t>
        </is>
      </c>
      <c r="D246">
        <v>0</v>
      </c>
      <c r="E246" t="inlineStr">
        <is>
          <t>资源数量不正确</t>
        </is>
      </c>
      <c r="F246" t="inlineStr">
        <is>
          <t>@陈佳杰</t>
        </is>
      </c>
      <c r="G246">
        <v>0</v>
      </c>
      <c r="H246" t="inlineStr">
        <is>
          <t>资源数量不正确</t>
        </is>
      </c>
      <c r="I246">
        <v>4</v>
      </c>
      <c r="J246" t="inlineStr">
        <is>
          <t>Confirm resource count is shown for each category</t>
        </is>
      </c>
      <c r="K246" t="inlineStr">
        <is>
          <t>确认每个分类展示资源数量</t>
        </is>
      </c>
      <c r="L246" s="2" t="str">
        <f>=HYPERLINK("https://atoms.dev/chat/f929fce2c36c4020a2fb69fdf4308ab2", "https://atoms.dev/chat/f929fce2c36c4020a2fb69fdf4308ab2")</f>
        <v>https://atoms.dev/chat/f929fce2c36c4020a2fb69fdf4308ab2</v>
      </c>
      <c r="M246" s="2" t="str">
        <f>=HYPERLINK("https://890131-f929fce2c36c4020a2fb69fdf4308ab2-latest-dev.dev.atoms.dev/", "https://890131-f929fce2c36c4020a2fb69fdf4308ab2-latest-dev.dev.atoms.dev/")</f>
        <v>https://890131-f929fce2c36c4020a2fb69fdf4308ab2-latest-dev.dev.atoms.dev/</v>
      </c>
      <c r="N246" s="2" t="str">
        <f>=HYPERLINK("http://press_test9@mgx.dev", "press_test9@mgx.dev")</f>
        <v>press_test9@mgx.dev</v>
      </c>
      <c r="O246" t="inlineStr">
        <is>
          <t>f929fce2c36c4020a2fb69fdf4308ab2</t>
        </is>
      </c>
    </row>
    <row r="247" ht="25.5" customHeight="1">
      <c r="A247" t="inlineStr">
        <is>
          <t>KnowledgeSource</t>
        </is>
      </c>
      <c r="B247">
        <v>21</v>
      </c>
      <c r="C247" t="inlineStr">
        <is>
          <t>@杨春玉</t>
        </is>
      </c>
      <c r="D247">
        <v>1</v>
      </c>
      <c r="E247"/>
      <c r="F247" t="inlineStr">
        <is>
          <t>@陈佳杰</t>
        </is>
      </c>
      <c r="G247">
        <v>1</v>
      </c>
      <c r="H247"/>
      <c r="I247">
        <v>5</v>
      </c>
      <c r="J247" t="inlineStr">
        <is>
          <t>Ensure notes are properly saved</t>
        </is>
      </c>
      <c r="K247" t="inlineStr">
        <is>
          <t>确保笔记正确保存</t>
        </is>
      </c>
      <c r="L247" s="2" t="str">
        <f>=HYPERLINK("https://atoms.dev/chat/f929fce2c36c4020a2fb69fdf4308ab2", "https://atoms.dev/chat/f929fce2c36c4020a2fb69fdf4308ab2")</f>
        <v>https://atoms.dev/chat/f929fce2c36c4020a2fb69fdf4308ab2</v>
      </c>
      <c r="M247" s="2" t="str">
        <f>=HYPERLINK("https://890131-f929fce2c36c4020a2fb69fdf4308ab2-latest-dev.dev.atoms.dev/", "https://890131-f929fce2c36c4020a2fb69fdf4308ab2-latest-dev.dev.atoms.dev/")</f>
        <v>https://890131-f929fce2c36c4020a2fb69fdf4308ab2-latest-dev.dev.atoms.dev/</v>
      </c>
      <c r="N247" s="2" t="str">
        <f>=HYPERLINK("http://press_test9@mgx.dev", "press_test9@mgx.dev")</f>
        <v>press_test9@mgx.dev</v>
      </c>
      <c r="O247" t="inlineStr">
        <is>
          <t>f929fce2c36c4020a2fb69fdf4308ab2</t>
        </is>
      </c>
    </row>
    <row r="248" ht="25.5" customHeight="1">
      <c r="A248" t="inlineStr">
        <is>
          <t>KnowledgeSource</t>
        </is>
      </c>
      <c r="B248">
        <v>21</v>
      </c>
      <c r="C248" t="inlineStr">
        <is>
          <t>@杨春玉</t>
        </is>
      </c>
      <c r="D248">
        <v>1</v>
      </c>
      <c r="E248"/>
      <c r="F248" t="inlineStr">
        <is>
          <t>@陈佳杰</t>
        </is>
      </c>
      <c r="G248">
        <v>1</v>
      </c>
      <c r="H248"/>
      <c r="I248">
        <v>6</v>
      </c>
      <c r="J248" t="inlineStr">
        <is>
          <t>Test pagination of search results</t>
        </is>
      </c>
      <c r="K248" t="inlineStr">
        <is>
          <t>测试搜索结果的分页功能</t>
        </is>
      </c>
      <c r="L248" s="2" t="str">
        <f>=HYPERLINK("https://atoms.dev/chat/f929fce2c36c4020a2fb69fdf4308ab2", "https://atoms.dev/chat/f929fce2c36c4020a2fb69fdf4308ab2")</f>
        <v>https://atoms.dev/chat/f929fce2c36c4020a2fb69fdf4308ab2</v>
      </c>
      <c r="M248" s="2" t="str">
        <f>=HYPERLINK("https://890131-f929fce2c36c4020a2fb69fdf4308ab2-latest-dev.dev.atoms.dev/", "https://890131-f929fce2c36c4020a2fb69fdf4308ab2-latest-dev.dev.atoms.dev/")</f>
        <v>https://890131-f929fce2c36c4020a2fb69fdf4308ab2-latest-dev.dev.atoms.dev/</v>
      </c>
      <c r="N248" s="2" t="str">
        <f>=HYPERLINK("http://press_test9@mgx.dev", "press_test9@mgx.dev")</f>
        <v>press_test9@mgx.dev</v>
      </c>
      <c r="O248" t="inlineStr">
        <is>
          <t>f929fce2c36c4020a2fb69fdf4308ab2</t>
        </is>
      </c>
    </row>
    <row r="249" ht="25.5" customHeight="1">
      <c r="A249" t="inlineStr">
        <is>
          <t>KnowledgeSource</t>
        </is>
      </c>
      <c r="B249">
        <v>21</v>
      </c>
      <c r="C249" t="inlineStr">
        <is>
          <t>@杨春玉</t>
        </is>
      </c>
      <c r="D249">
        <v>1</v>
      </c>
      <c r="E249"/>
      <c r="F249" t="inlineStr">
        <is>
          <t>@陈佳杰</t>
        </is>
      </c>
      <c r="G249">
        <v>1</v>
      </c>
      <c r="H249"/>
      <c r="I249">
        <v>7</v>
      </c>
      <c r="J249" t="inlineStr">
        <is>
          <t>Test saving of user highlights</t>
        </is>
      </c>
      <c r="K249" t="inlineStr">
        <is>
          <t>测试保存用户高亮内容的功能</t>
        </is>
      </c>
      <c r="L249" s="2" t="str">
        <f>=HYPERLINK("https://atoms.dev/chat/f929fce2c36c4020a2fb69fdf4308ab2", "https://atoms.dev/chat/f929fce2c36c4020a2fb69fdf4308ab2")</f>
        <v>https://atoms.dev/chat/f929fce2c36c4020a2fb69fdf4308ab2</v>
      </c>
      <c r="M249" s="2" t="str">
        <f>=HYPERLINK("https://890131-f929fce2c36c4020a2fb69fdf4308ab2-latest-dev.dev.atoms.dev/", "https://890131-f929fce2c36c4020a2fb69fdf4308ab2-latest-dev.dev.atoms.dev/")</f>
        <v>https://890131-f929fce2c36c4020a2fb69fdf4308ab2-latest-dev.dev.atoms.dev/</v>
      </c>
      <c r="N249" s="2" t="str">
        <f>=HYPERLINK("http://press_test9@mgx.dev", "press_test9@mgx.dev")</f>
        <v>press_test9@mgx.dev</v>
      </c>
      <c r="O249" t="inlineStr">
        <is>
          <t>f929fce2c36c4020a2fb69fdf4308ab2</t>
        </is>
      </c>
    </row>
    <row r="250" ht="25.5" customHeight="1">
      <c r="A250" t="inlineStr">
        <is>
          <t>KnowledgeSource</t>
        </is>
      </c>
      <c r="B250">
        <v>21</v>
      </c>
      <c r="C250" t="inlineStr">
        <is>
          <t>@杨春玉</t>
        </is>
      </c>
      <c r="D250">
        <v>1</v>
      </c>
      <c r="E250"/>
      <c r="F250" t="inlineStr">
        <is>
          <t>@陈佳杰</t>
        </is>
      </c>
      <c r="G250">
        <v>1</v>
      </c>
      <c r="H250"/>
      <c r="I250">
        <v>8</v>
      </c>
      <c r="J250" t="inlineStr">
        <is>
          <t>Test subcategory navigation</t>
        </is>
      </c>
      <c r="K250" t="inlineStr">
        <is>
          <t>测试子分类导航功能</t>
        </is>
      </c>
      <c r="L250" s="2" t="str">
        <f>=HYPERLINK("https://atoms.dev/chat/f929fce2c36c4020a2fb69fdf4308ab2", "https://atoms.dev/chat/f929fce2c36c4020a2fb69fdf4308ab2")</f>
        <v>https://atoms.dev/chat/f929fce2c36c4020a2fb69fdf4308ab2</v>
      </c>
      <c r="M250" s="2" t="str">
        <f>=HYPERLINK("https://890131-f929fce2c36c4020a2fb69fdf4308ab2-latest-dev.dev.atoms.dev/", "https://890131-f929fce2c36c4020a2fb69fdf4308ab2-latest-dev.dev.atoms.dev/")</f>
        <v>https://890131-f929fce2c36c4020a2fb69fdf4308ab2-latest-dev.dev.atoms.dev/</v>
      </c>
      <c r="N250" s="2" t="str">
        <f>=HYPERLINK("http://press_test9@mgx.dev", "press_test9@mgx.dev")</f>
        <v>press_test9@mgx.dev</v>
      </c>
      <c r="O250" t="inlineStr">
        <is>
          <t>f929fce2c36c4020a2fb69fdf4308ab2</t>
        </is>
      </c>
    </row>
    <row r="251" ht="25.5" customHeight="1">
      <c r="A251" t="inlineStr">
        <is>
          <t>KnowledgeSource</t>
        </is>
      </c>
      <c r="B251">
        <v>21</v>
      </c>
      <c r="C251" t="inlineStr">
        <is>
          <t>@杨春玉</t>
        </is>
      </c>
      <c r="D251">
        <v>1</v>
      </c>
      <c r="E251"/>
      <c r="F251" t="inlineStr">
        <is>
          <t>@陈佳杰</t>
        </is>
      </c>
      <c r="G251">
        <v>1</v>
      </c>
      <c r="H251"/>
      <c r="I251">
        <v>9</v>
      </c>
      <c r="J251" t="inlineStr">
        <is>
          <t>Verify bookmark saving functionality</t>
        </is>
      </c>
      <c r="K251" t="inlineStr">
        <is>
          <t>验证书签保存功能</t>
        </is>
      </c>
      <c r="L251" s="2" t="str">
        <f>=HYPERLINK("https://atoms.dev/chat/f929fce2c36c4020a2fb69fdf4308ab2", "https://atoms.dev/chat/f929fce2c36c4020a2fb69fdf4308ab2")</f>
        <v>https://atoms.dev/chat/f929fce2c36c4020a2fb69fdf4308ab2</v>
      </c>
      <c r="M251" s="2" t="str">
        <f>=HYPERLINK("https://890131-f929fce2c36c4020a2fb69fdf4308ab2-latest-dev.dev.atoms.dev/", "https://890131-f929fce2c36c4020a2fb69fdf4308ab2-latest-dev.dev.atoms.dev/")</f>
        <v>https://890131-f929fce2c36c4020a2fb69fdf4308ab2-latest-dev.dev.atoms.dev/</v>
      </c>
      <c r="N251" s="2" t="str">
        <f>=HYPERLINK("http://press_test9@mgx.dev", "press_test9@mgx.dev")</f>
        <v>press_test9@mgx.dev</v>
      </c>
      <c r="O251" t="inlineStr">
        <is>
          <t>f929fce2c36c4020a2fb69fdf4308ab2</t>
        </is>
      </c>
    </row>
    <row r="252" ht="25.5" customHeight="1">
      <c r="A252" t="inlineStr">
        <is>
          <t>KnowledgeSource</t>
        </is>
      </c>
      <c r="B252">
        <v>21</v>
      </c>
      <c r="C252" t="inlineStr">
        <is>
          <t>@杨春玉</t>
        </is>
      </c>
      <c r="D252">
        <v>1</v>
      </c>
      <c r="E252"/>
      <c r="F252" t="inlineStr">
        <is>
          <t>@陈佳杰</t>
        </is>
      </c>
      <c r="G252">
        <v>1</v>
      </c>
      <c r="H252"/>
      <c r="I252">
        <v>10</v>
      </c>
      <c r="J252" t="inlineStr">
        <is>
          <t>Verify main categories are displayed</t>
        </is>
      </c>
      <c r="K252" t="inlineStr">
        <is>
          <t>验证展示主分类</t>
        </is>
      </c>
      <c r="L252" s="2" t="str">
        <f>=HYPERLINK("https://atoms.dev/chat/f929fce2c36c4020a2fb69fdf4308ab2", "https://atoms.dev/chat/f929fce2c36c4020a2fb69fdf4308ab2")</f>
        <v>https://atoms.dev/chat/f929fce2c36c4020a2fb69fdf4308ab2</v>
      </c>
      <c r="M252" s="2" t="str">
        <f>=HYPERLINK("https://890131-f929fce2c36c4020a2fb69fdf4308ab2-latest-dev.dev.atoms.dev/", "https://890131-f929fce2c36c4020a2fb69fdf4308ab2-latest-dev.dev.atoms.dev/")</f>
        <v>https://890131-f929fce2c36c4020a2fb69fdf4308ab2-latest-dev.dev.atoms.dev/</v>
      </c>
      <c r="N252" s="2" t="str">
        <f>=HYPERLINK("http://press_test9@mgx.dev", "press_test9@mgx.dev")</f>
        <v>press_test9@mgx.dev</v>
      </c>
      <c r="O252" t="inlineStr">
        <is>
          <t>f929fce2c36c4020a2fb69fdf4308ab2</t>
        </is>
      </c>
    </row>
    <row r="253" ht="25.5" customHeight="1">
      <c r="A253" t="inlineStr">
        <is>
          <t>KnowledgeSource</t>
        </is>
      </c>
      <c r="B253">
        <v>21</v>
      </c>
      <c r="C253" t="inlineStr">
        <is>
          <t>@杨春玉</t>
        </is>
      </c>
      <c r="D253">
        <v>1</v>
      </c>
      <c r="E253"/>
      <c r="F253" t="inlineStr">
        <is>
          <t>@陈佳杰</t>
        </is>
      </c>
      <c r="G253">
        <v>1</v>
      </c>
      <c r="H253"/>
      <c r="I253">
        <v>11</v>
      </c>
      <c r="J253" t="inlineStr">
        <is>
          <t>Verify note-taking functionality in side panel</t>
        </is>
      </c>
      <c r="K253" t="inlineStr">
        <is>
          <t>验证侧边栏的笔记记录功能</t>
        </is>
      </c>
      <c r="L253" s="2" t="str">
        <f>=HYPERLINK("https://atoms.dev/chat/f929fce2c36c4020a2fb69fdf4308ab2", "https://atoms.dev/chat/f929fce2c36c4020a2fb69fdf4308ab2")</f>
        <v>https://atoms.dev/chat/f929fce2c36c4020a2fb69fdf4308ab2</v>
      </c>
      <c r="M253" s="2" t="str">
        <f>=HYPERLINK("https://890131-f929fce2c36c4020a2fb69fdf4308ab2-latest-dev.dev.atoms.dev/", "https://890131-f929fce2c36c4020a2fb69fdf4308ab2-latest-dev.dev.atoms.dev/")</f>
        <v>https://890131-f929fce2c36c4020a2fb69fdf4308ab2-latest-dev.dev.atoms.dev/</v>
      </c>
      <c r="N253" s="2" t="str">
        <f>=HYPERLINK("http://press_test9@mgx.dev", "press_test9@mgx.dev")</f>
        <v>press_test9@mgx.dev</v>
      </c>
      <c r="O253" t="inlineStr">
        <is>
          <t>f929fce2c36c4020a2fb69fdf4308ab2</t>
        </is>
      </c>
    </row>
    <row r="254" ht="25.5" customHeight="1">
      <c r="A254" t="inlineStr">
        <is>
          <t>KnowledgeSource</t>
        </is>
      </c>
      <c r="B254">
        <v>21</v>
      </c>
      <c r="C254" t="inlineStr">
        <is>
          <t>@杨春玉</t>
        </is>
      </c>
      <c r="D254">
        <v>1</v>
      </c>
      <c r="E254"/>
      <c r="F254" t="inlineStr">
        <is>
          <t>@陈佳杰</t>
        </is>
      </c>
      <c r="G254">
        <v>1</v>
      </c>
      <c r="H254"/>
      <c r="I254">
        <v>12</v>
      </c>
      <c r="J254" t="inlineStr">
        <is>
          <t>Verify preview information is displayed for each search result</t>
        </is>
      </c>
      <c r="K254" t="inlineStr">
        <is>
          <t>验证每个搜索结果展示预览信息</t>
        </is>
      </c>
      <c r="L254" s="2" t="str">
        <f>=HYPERLINK("https://atoms.dev/chat/f929fce2c36c4020a2fb69fdf4308ab2", "https://atoms.dev/chat/f929fce2c36c4020a2fb69fdf4308ab2")</f>
        <v>https://atoms.dev/chat/f929fce2c36c4020a2fb69fdf4308ab2</v>
      </c>
      <c r="M254" s="2" t="str">
        <f>=HYPERLINK("https://890131-f929fce2c36c4020a2fb69fdf4308ab2-latest-dev.dev.atoms.dev/", "https://890131-f929fce2c36c4020a2fb69fdf4308ab2-latest-dev.dev.atoms.dev/")</f>
        <v>https://890131-f929fce2c36c4020a2fb69fdf4308ab2-latest-dev.dev.atoms.dev/</v>
      </c>
      <c r="N254" s="2" t="str">
        <f>=HYPERLINK("http://press_test9@mgx.dev", "press_test9@mgx.dev")</f>
        <v>press_test9@mgx.dev</v>
      </c>
      <c r="O254" t="inlineStr">
        <is>
          <t>f929fce2c36c4020a2fb69fdf4308ab2</t>
        </is>
      </c>
    </row>
    <row r="255" ht="25.5" customHeight="1">
      <c r="A255" t="inlineStr">
        <is>
          <t>KnowledgeSource</t>
        </is>
      </c>
      <c r="B255">
        <v>21</v>
      </c>
      <c r="C255" t="inlineStr">
        <is>
          <t>@杨春玉</t>
        </is>
      </c>
      <c r="D255">
        <v>1</v>
      </c>
      <c r="E255"/>
      <c r="F255" t="inlineStr">
        <is>
          <t>@陈佳杰</t>
        </is>
      </c>
      <c r="G255">
        <v>1</v>
      </c>
      <c r="H255"/>
      <c r="I255">
        <v>13</v>
      </c>
      <c r="J255" t="inlineStr">
        <is>
          <t>Verify search bar is present</t>
        </is>
      </c>
      <c r="K255" t="inlineStr">
        <is>
          <t>验证搜索栏存在</t>
        </is>
      </c>
      <c r="L255" s="2" t="str">
        <f>=HYPERLINK("https://atoms.dev/chat/f929fce2c36c4020a2fb69fdf4308ab2", "https://atoms.dev/chat/f929fce2c36c4020a2fb69fdf4308ab2")</f>
        <v>https://atoms.dev/chat/f929fce2c36c4020a2fb69fdf4308ab2</v>
      </c>
      <c r="M255" s="2" t="str">
        <f>=HYPERLINK("https://890131-f929fce2c36c4020a2fb69fdf4308ab2-latest-dev.dev.atoms.dev/", "https://890131-f929fce2c36c4020a2fb69fdf4308ab2-latest-dev.dev.atoms.dev/")</f>
        <v>https://890131-f929fce2c36c4020a2fb69fdf4308ab2-latest-dev.dev.atoms.dev/</v>
      </c>
      <c r="N255" s="2" t="str">
        <f>=HYPERLINK("http://press_test9@mgx.dev", "press_test9@mgx.dev")</f>
        <v>press_test9@mgx.dev</v>
      </c>
      <c r="O255" t="inlineStr">
        <is>
          <t>f929fce2c36c4020a2fb69fdf4308ab2</t>
        </is>
      </c>
    </row>
    <row r="256" ht="25.5" customHeight="1">
      <c r="A256" t="inlineStr">
        <is>
          <t>KnowledgeSource</t>
        </is>
      </c>
      <c r="B256">
        <v>21</v>
      </c>
      <c r="C256" t="inlineStr">
        <is>
          <t>@杨春玉</t>
        </is>
      </c>
      <c r="D256">
        <v>1</v>
      </c>
      <c r="E256"/>
      <c r="F256" t="inlineStr">
        <is>
          <t>@陈佳杰</t>
        </is>
      </c>
      <c r="G256">
        <v>1</v>
      </c>
      <c r="H256"/>
      <c r="I256">
        <v>14</v>
      </c>
      <c r="J256" t="inlineStr">
        <is>
          <t>Verify text highlighting tool functionality</t>
        </is>
      </c>
      <c r="K256" t="inlineStr">
        <is>
          <t>验证文本高亮工具功能</t>
        </is>
      </c>
      <c r="L256" s="2" t="str">
        <f>=HYPERLINK("https://atoms.dev/chat/f929fce2c36c4020a2fb69fdf4308ab2", "https://atoms.dev/chat/f929fce2c36c4020a2fb69fdf4308ab2")</f>
        <v>https://atoms.dev/chat/f929fce2c36c4020a2fb69fdf4308ab2</v>
      </c>
      <c r="M256" s="2" t="str">
        <f>=HYPERLINK("https://890131-f929fce2c36c4020a2fb69fdf4308ab2-latest-dev.dev.atoms.dev/", "https://890131-f929fce2c36c4020a2fb69fdf4308ab2-latest-dev.dev.atoms.dev/")</f>
        <v>https://890131-f929fce2c36c4020a2fb69fdf4308ab2-latest-dev.dev.atoms.dev/</v>
      </c>
      <c r="N256" s="2" t="str">
        <f>=HYPERLINK("http://press_test9@mgx.dev", "press_test9@mgx.dev")</f>
        <v>press_test9@mgx.dev</v>
      </c>
      <c r="O256" t="inlineStr">
        <is>
          <t>f929fce2c36c4020a2fb69fdf4308ab2</t>
        </is>
      </c>
    </row>
    <row r="257" ht="25.5" customHeight="1">
      <c r="A257" t="inlineStr">
        <is>
          <t>LUXURY photography portfolio</t>
        </is>
      </c>
      <c r="B257">
        <v>22</v>
      </c>
      <c r="C257" t="inlineStr">
        <is>
          <t>@杨春玉</t>
        </is>
      </c>
      <c r="D257">
        <v>1</v>
      </c>
      <c r="E257"/>
      <c r="F257" t="inlineStr">
        <is>
          <t>@陈佳杰</t>
        </is>
      </c>
      <c r="G257">
        <v>1</v>
      </c>
      <c r="H257"/>
      <c r="I257">
        <v>1</v>
      </c>
      <c r="J257" t="inlineStr">
        <is>
          <t>Check if all navigation links in the sticky bar are clickable and lead to correct sections</t>
        </is>
      </c>
      <c r="K257" t="inlineStr">
        <is>
          <t>检查粘性导航栏中的所有链接是否可点击且跳转至正确板块</t>
        </is>
      </c>
      <c r="L257" s="2" t="str">
        <f>=HYPERLINK("http://pre.mgx.dev/chat/ed44e77544044ccabbc923a39b3115b1", "http://pre.mgx.dev/chat/ed44e77544044ccabbc923a39b3115b1")</f>
        <v>http://pre.mgx.dev/chat/ed44e77544044ccabbc923a39b3115b1</v>
      </c>
      <c r="M257" s="2" t="str">
        <f>=HYPERLINK("", "https://45759-ed44e77544044ccabbc923a39b3115b1-3-latest.app.beta.mgx.dev")</f>
        <v>https://45759-ed44e77544044ccabbc923a39b3115b1-3-latest.app.beta.mgx.dev</v>
      </c>
      <c r="N257" s="2" t="str">
        <f>=HYPERLINK("mailto:eval_49@auto.com", "eval_49@auto.com")</f>
        <v>eval_49@auto.com</v>
      </c>
      <c r="O257" t="inlineStr">
        <is>
          <t>ed44e77544044ccabbc923a39b3115b1</t>
        </is>
      </c>
    </row>
    <row r="258" ht="25.5" customHeight="1">
      <c r="A258" t="inlineStr">
        <is>
          <t>LUXURY photography portfolio</t>
        </is>
      </c>
      <c r="B258">
        <v>22</v>
      </c>
      <c r="C258" t="inlineStr">
        <is>
          <t>@杨春玉</t>
        </is>
      </c>
      <c r="D258">
        <v>1</v>
      </c>
      <c r="E258"/>
      <c r="F258" t="inlineStr">
        <is>
          <t>@陈佳杰</t>
        </is>
      </c>
      <c r="G258">
        <v>1</v>
      </c>
      <c r="H258"/>
      <c r="I258">
        <v>2</v>
      </c>
      <c r="J258" t="inlineStr">
        <is>
          <t>Check if left/right swipe navigation works in the lightbox view</t>
        </is>
      </c>
      <c r="K258" t="inlineStr">
        <is>
          <t>检查灯箱视图中左右滑动导航是否正常</t>
        </is>
      </c>
      <c r="L258" s="2" t="str">
        <f>=HYPERLINK("http://pre.mgx.dev/chat/ed44e77544044ccabbc923a39b3115b1", "http://pre.mgx.dev/chat/ed44e77544044ccabbc923a39b3115b1")</f>
        <v>http://pre.mgx.dev/chat/ed44e77544044ccabbc923a39b3115b1</v>
      </c>
      <c r="M258" s="2" t="str">
        <f>=HYPERLINK("", "https://45759-ed44e77544044ccabbc923a39b3115b1-3-latest.app.beta.mgx.dev")</f>
        <v>https://45759-ed44e77544044ccabbc923a39b3115b1-3-latest.app.beta.mgx.dev</v>
      </c>
      <c r="N258" s="2" t="str">
        <f>=HYPERLINK("mailto:eval_49@auto.com", "eval_49@auto.com")</f>
        <v>eval_49@auto.com</v>
      </c>
      <c r="O258" t="inlineStr">
        <is>
          <t>ed44e77544044ccabbc923a39b3115b1</t>
        </is>
      </c>
    </row>
    <row r="259" ht="25.5" customHeight="1">
      <c r="A259" t="inlineStr">
        <is>
          <t>LUXURY photography portfolio</t>
        </is>
      </c>
      <c r="B259">
        <v>22</v>
      </c>
      <c r="C259" t="inlineStr">
        <is>
          <t>@杨春玉</t>
        </is>
      </c>
      <c r="D259">
        <v>1</v>
      </c>
      <c r="E259"/>
      <c r="F259" t="inlineStr">
        <is>
          <t>@陈佳杰</t>
        </is>
      </c>
      <c r="G259">
        <v>1</v>
      </c>
      <c r="H259"/>
      <c r="I259">
        <v>3</v>
      </c>
      <c r="J259" t="inlineStr">
        <is>
          <t>Confirm the presence of a collapsible services list on the webpage</t>
        </is>
      </c>
      <c r="K259" t="inlineStr">
        <is>
          <t>确认网页上存在可折叠的服务列表</t>
        </is>
      </c>
      <c r="L259" s="2" t="str">
        <f>=HYPERLINK("http://pre.mgx.dev/chat/ed44e77544044ccabbc923a39b3115b1", "http://pre.mgx.dev/chat/ed44e77544044ccabbc923a39b3115b1")</f>
        <v>http://pre.mgx.dev/chat/ed44e77544044ccabbc923a39b3115b1</v>
      </c>
      <c r="M259" s="2" t="str">
        <f>=HYPERLINK("", "https://45759-ed44e77544044ccabbc923a39b3115b1-3-latest.app.beta.mgx.dev")</f>
        <v>https://45759-ed44e77544044ccabbc923a39b3115b1-3-latest.app.beta.mgx.dev</v>
      </c>
      <c r="N259" s="2" t="str">
        <f>=HYPERLINK("mailto:eval_49@auto.com", "eval_49@auto.com")</f>
        <v>eval_49@auto.com</v>
      </c>
      <c r="O259" t="inlineStr">
        <is>
          <t>ed44e77544044ccabbc923a39b3115b1</t>
        </is>
      </c>
    </row>
    <row r="260" ht="25.5" customHeight="1">
      <c r="A260" t="inlineStr">
        <is>
          <t>LUXURY photography portfolio</t>
        </is>
      </c>
      <c r="B260">
        <v>22</v>
      </c>
      <c r="C260" t="inlineStr">
        <is>
          <t>@杨春玉</t>
        </is>
      </c>
      <c r="D260">
        <v>1</v>
      </c>
      <c r="E260"/>
      <c r="F260" t="inlineStr">
        <is>
          <t>@陈佳杰</t>
        </is>
      </c>
      <c r="G260">
        <v>1</v>
      </c>
      <c r="H260"/>
      <c r="I260">
        <v>4</v>
      </c>
      <c r="J260" t="inlineStr">
        <is>
          <t>Confirm the presence of a contact form on the webpage</t>
        </is>
      </c>
      <c r="K260" t="inlineStr">
        <is>
          <t>确认网页上存在联系表单</t>
        </is>
      </c>
      <c r="L260" s="2" t="str">
        <f>=HYPERLINK("http://pre.mgx.dev/chat/ed44e77544044ccabbc923a39b3115b1", "http://pre.mgx.dev/chat/ed44e77544044ccabbc923a39b3115b1")</f>
        <v>http://pre.mgx.dev/chat/ed44e77544044ccabbc923a39b3115b1</v>
      </c>
      <c r="M260" s="2" t="str">
        <f>=HYPERLINK("", "https://45759-ed44e77544044ccabbc923a39b3115b1-3-latest.app.beta.mgx.dev")</f>
        <v>https://45759-ed44e77544044ccabbc923a39b3115b1-3-latest.app.beta.mgx.dev</v>
      </c>
      <c r="N260" s="2" t="str">
        <f>=HYPERLINK("mailto:eval_49@auto.com", "eval_49@auto.com")</f>
        <v>eval_49@auto.com</v>
      </c>
      <c r="O260" t="inlineStr">
        <is>
          <t>ed44e77544044ccabbc923a39b3115b1</t>
        </is>
      </c>
    </row>
    <row r="261" ht="25.5" customHeight="1">
      <c r="A261" t="inlineStr">
        <is>
          <t>LUXURY photography portfolio</t>
        </is>
      </c>
      <c r="B261">
        <v>22</v>
      </c>
      <c r="C261" t="inlineStr">
        <is>
          <t>@杨春玉</t>
        </is>
      </c>
      <c r="D261">
        <v>1</v>
      </c>
      <c r="E261"/>
      <c r="F261" t="inlineStr">
        <is>
          <t>@陈佳杰</t>
        </is>
      </c>
      <c r="G261">
        <v>1</v>
      </c>
      <c r="H261"/>
      <c r="I261">
        <v>5</v>
      </c>
      <c r="J261" t="inlineStr">
        <is>
          <t>Confirm the presence of video thumbnails on the webpage</t>
        </is>
      </c>
      <c r="K261" t="inlineStr">
        <is>
          <t>确认网页上存在视频缩略图</t>
        </is>
      </c>
      <c r="L261" s="2" t="str">
        <f>=HYPERLINK("http://pre.mgx.dev/chat/ed44e77544044ccabbc923a39b3115b1", "http://pre.mgx.dev/chat/ed44e77544044ccabbc923a39b3115b1")</f>
        <v>http://pre.mgx.dev/chat/ed44e77544044ccabbc923a39b3115b1</v>
      </c>
      <c r="M261" s="2" t="str">
        <f>=HYPERLINK("", "https://45759-ed44e77544044ccabbc923a39b3115b1-3-latest.app.beta.mgx.dev")</f>
        <v>https://45759-ed44e77544044ccabbc923a39b3115b1-3-latest.app.beta.mgx.dev</v>
      </c>
      <c r="N261" s="2" t="str">
        <f>=HYPERLINK("mailto:eval_49@auto.com", "eval_49@auto.com")</f>
        <v>eval_49@auto.com</v>
      </c>
      <c r="O261" t="inlineStr">
        <is>
          <t>ed44e77544044ccabbc923a39b3115b1</t>
        </is>
      </c>
    </row>
    <row r="262" ht="25.5" customHeight="1">
      <c r="A262" t="inlineStr">
        <is>
          <t>LUXURY photography portfolio</t>
        </is>
      </c>
      <c r="B262">
        <v>22</v>
      </c>
      <c r="C262" t="inlineStr">
        <is>
          <t>@杨春玉</t>
        </is>
      </c>
      <c r="D262">
        <v>0</v>
      </c>
      <c r="E262" t="inlineStr">
        <is>
          <t>不是全屏灯箱模式</t>
        </is>
      </c>
      <c r="F262" t="inlineStr">
        <is>
          <t>@陈佳杰</t>
        </is>
      </c>
      <c r="G262">
        <v>0</v>
      </c>
      <c r="H262" t="inlineStr">
        <is>
          <t>展示不完整</t>
        </is>
      </c>
      <c r="I262">
        <v>6</v>
      </c>
      <c r="J262" t="inlineStr">
        <is>
          <t>Test clicking on a photography piece to open the full-screen lightbox mode</t>
        </is>
      </c>
      <c r="K262" t="inlineStr">
        <is>
          <t>测试点击摄影作品打开全屏灯箱模式</t>
        </is>
      </c>
      <c r="L262" s="2" t="str">
        <f>=HYPERLINK("http://pre.mgx.dev/chat/ed44e77544044ccabbc923a39b3115b1", "http://pre.mgx.dev/chat/ed44e77544044ccabbc923a39b3115b1")</f>
        <v>http://pre.mgx.dev/chat/ed44e77544044ccabbc923a39b3115b1</v>
      </c>
      <c r="M262" s="2" t="str">
        <f>=HYPERLINK("", "https://45759-ed44e77544044ccabbc923a39b3115b1-3-latest.app.beta.mgx.dev")</f>
        <v>https://45759-ed44e77544044ccabbc923a39b3115b1-3-latest.app.beta.mgx.dev</v>
      </c>
      <c r="N262" s="2" t="str">
        <f>=HYPERLINK("mailto:eval_49@auto.com", "eval_49@auto.com")</f>
        <v>eval_49@auto.com</v>
      </c>
      <c r="O262" t="inlineStr">
        <is>
          <t>ed44e77544044ccabbc923a39b3115b1</t>
        </is>
      </c>
    </row>
    <row r="263" ht="25.5" customHeight="1">
      <c r="A263" t="inlineStr">
        <is>
          <t>LUXURY photography portfolio</t>
        </is>
      </c>
      <c r="B263">
        <v>22</v>
      </c>
      <c r="C263" t="inlineStr">
        <is>
          <t>@杨春玉</t>
        </is>
      </c>
      <c r="D263">
        <v>1</v>
      </c>
      <c r="E263"/>
      <c r="F263" t="inlineStr">
        <is>
          <t>@陈佳杰</t>
        </is>
      </c>
      <c r="G263">
        <v>0</v>
      </c>
      <c r="H263" t="inlineStr">
        <is>
          <t>视频无法准确播放</t>
        </is>
      </c>
      <c r="I263">
        <v>7</v>
      </c>
      <c r="J263" t="inlineStr">
        <is>
          <t>Test clicking on a video thumbnail to open the pop-up player</t>
        </is>
      </c>
      <c r="K263" t="inlineStr">
        <is>
          <t>测试点击视频缩略图打开弹窗播放器</t>
        </is>
      </c>
      <c r="L263" s="2" t="str">
        <f>=HYPERLINK("http://pre.mgx.dev/chat/ed44e77544044ccabbc923a39b3115b1", "http://pre.mgx.dev/chat/ed44e77544044ccabbc923a39b3115b1")</f>
        <v>http://pre.mgx.dev/chat/ed44e77544044ccabbc923a39b3115b1</v>
      </c>
      <c r="M263" s="2" t="str">
        <f>=HYPERLINK("", "https://45759-ed44e77544044ccabbc923a39b3115b1-3-latest.app.beta.mgx.dev")</f>
        <v>https://45759-ed44e77544044ccabbc923a39b3115b1-3-latest.app.beta.mgx.dev</v>
      </c>
      <c r="N263" s="2" t="str">
        <f>=HYPERLINK("mailto:eval_49@auto.com", "eval_49@auto.com")</f>
        <v>eval_49@auto.com</v>
      </c>
      <c r="O263" t="inlineStr">
        <is>
          <t>ed44e77544044ccabbc923a39b3115b1</t>
        </is>
      </c>
    </row>
    <row r="264" ht="25.5" customHeight="1">
      <c r="A264" t="inlineStr">
        <is>
          <t>LUXURY photography portfolio</t>
        </is>
      </c>
      <c r="B264">
        <v>22</v>
      </c>
      <c r="C264" t="inlineStr">
        <is>
          <t>@杨春玉</t>
        </is>
      </c>
      <c r="D264">
        <v>1</v>
      </c>
      <c r="E264"/>
      <c r="F264" t="inlineStr">
        <is>
          <t>@陈佳杰</t>
        </is>
      </c>
      <c r="G264">
        <v>1</v>
      </c>
      <c r="H264"/>
      <c r="I264">
        <v>8</v>
      </c>
      <c r="J264" t="inlineStr">
        <is>
          <t>Test clicking the '+' icon to expand a service description</t>
        </is>
      </c>
      <c r="K264" t="inlineStr">
        <is>
          <t>测试点击“+”图标展开服务描述</t>
        </is>
      </c>
      <c r="L264" s="2" t="str">
        <f>=HYPERLINK("http://pre.mgx.dev/chat/ed44e77544044ccabbc923a39b3115b1", "http://pre.mgx.dev/chat/ed44e77544044ccabbc923a39b3115b1")</f>
        <v>http://pre.mgx.dev/chat/ed44e77544044ccabbc923a39b3115b1</v>
      </c>
      <c r="M264" s="2" t="str">
        <f>=HYPERLINK("", "https://45759-ed44e77544044ccabbc923a39b3115b1-3-latest.app.beta.mgx.dev")</f>
        <v>https://45759-ed44e77544044ccabbc923a39b3115b1-3-latest.app.beta.mgx.dev</v>
      </c>
      <c r="N264" s="2" t="str">
        <f>=HYPERLINK("mailto:eval_49@auto.com", "eval_49@auto.com")</f>
        <v>eval_49@auto.com</v>
      </c>
      <c r="O264" t="inlineStr">
        <is>
          <t>ed44e77544044ccabbc923a39b3115b1</t>
        </is>
      </c>
    </row>
    <row r="265" ht="25.5" customHeight="1">
      <c r="A265" t="inlineStr">
        <is>
          <t>LUXURY photography portfolio</t>
        </is>
      </c>
      <c r="B265">
        <v>22</v>
      </c>
      <c r="C265" t="inlineStr">
        <is>
          <t>@杨春玉</t>
        </is>
      </c>
      <c r="D265">
        <v>1</v>
      </c>
      <c r="E265"/>
      <c r="F265" t="inlineStr">
        <is>
          <t>@陈佳杰</t>
        </is>
      </c>
      <c r="G265">
        <v>1</v>
      </c>
      <c r="H265"/>
      <c r="I265">
        <v>9</v>
      </c>
      <c r="J265" t="inlineStr">
        <is>
          <t>Test clicking the '-' icon to collapse an expanded service description</t>
        </is>
      </c>
      <c r="K265" t="inlineStr">
        <is>
          <t>测试点击“-”图标折叠已展开的服务描述</t>
        </is>
      </c>
      <c r="L265" s="2" t="str">
        <f>=HYPERLINK("http://pre.mgx.dev/chat/ed44e77544044ccabbc923a39b3115b1", "http://pre.mgx.dev/chat/ed44e77544044ccabbc923a39b3115b1")</f>
        <v>http://pre.mgx.dev/chat/ed44e77544044ccabbc923a39b3115b1</v>
      </c>
      <c r="M265" s="2" t="str">
        <f>=HYPERLINK("", "https://45759-ed44e77544044ccabbc923a39b3115b1-3-latest.app.beta.mgx.dev")</f>
        <v>https://45759-ed44e77544044ccabbc923a39b3115b1-3-latest.app.beta.mgx.dev</v>
      </c>
      <c r="N265" s="2" t="str">
        <f>=HYPERLINK("mailto:eval_49@auto.com", "eval_49@auto.com")</f>
        <v>eval_49@auto.com</v>
      </c>
      <c r="O265" t="inlineStr">
        <is>
          <t>ed44e77544044ccabbc923a39b3115b1</t>
        </is>
      </c>
    </row>
    <row r="266" ht="25.5" customHeight="1">
      <c r="A266" t="inlineStr">
        <is>
          <t>LUXURY photography portfolio</t>
        </is>
      </c>
      <c r="B266">
        <v>22</v>
      </c>
      <c r="C266" t="inlineStr">
        <is>
          <t>@杨春玉</t>
        </is>
      </c>
      <c r="D266">
        <v>1</v>
      </c>
      <c r="E266"/>
      <c r="F266" t="inlineStr">
        <is>
          <t>@陈佳杰</t>
        </is>
      </c>
      <c r="G266">
        <v>1</v>
      </c>
      <c r="H266"/>
      <c r="I266">
        <v>10</v>
      </c>
      <c r="J266" t="inlineStr">
        <is>
          <t>Test if the navigation bar remains fixed at the top while scrolling</t>
        </is>
      </c>
      <c r="K266" t="inlineStr">
        <is>
          <t>测试滚动页面时导航栏是否固定在顶部</t>
        </is>
      </c>
      <c r="L266" s="2" t="str">
        <f>=HYPERLINK("http://pre.mgx.dev/chat/ed44e77544044ccabbc923a39b3115b1", "http://pre.mgx.dev/chat/ed44e77544044ccabbc923a39b3115b1")</f>
        <v>http://pre.mgx.dev/chat/ed44e77544044ccabbc923a39b3115b1</v>
      </c>
      <c r="M266" s="2" t="str">
        <f>=HYPERLINK("", "https://45759-ed44e77544044ccabbc923a39b3115b1-3-latest.app.beta.mgx.dev")</f>
        <v>https://45759-ed44e77544044ccabbc923a39b3115b1-3-latest.app.beta.mgx.dev</v>
      </c>
      <c r="N266" s="2" t="str">
        <f>=HYPERLINK("mailto:eval_49@auto.com", "eval_49@auto.com")</f>
        <v>eval_49@auto.com</v>
      </c>
      <c r="O266" t="inlineStr">
        <is>
          <t>ed44e77544044ccabbc923a39b3115b1</t>
        </is>
      </c>
    </row>
    <row r="267" ht="25.5" customHeight="1">
      <c r="A267" t="inlineStr">
        <is>
          <t>LUXURY photography portfolio</t>
        </is>
      </c>
      <c r="B267">
        <v>22</v>
      </c>
      <c r="C267" t="inlineStr">
        <is>
          <t>@杨春玉</t>
        </is>
      </c>
      <c r="D267">
        <v>1</v>
      </c>
      <c r="E267"/>
      <c r="F267" t="inlineStr">
        <is>
          <t>@陈佳杰</t>
        </is>
      </c>
      <c r="G267">
        <v>1</v>
      </c>
      <c r="H267"/>
      <c r="I267">
        <v>11</v>
      </c>
      <c r="J267" t="inlineStr">
        <is>
          <t>Test manual navigation through the carousel using arrow buttons</t>
        </is>
      </c>
      <c r="K267" t="inlineStr">
        <is>
          <t>测试使用箭头按钮手动切换轮播内容</t>
        </is>
      </c>
      <c r="L267" s="2" t="str">
        <f>=HYPERLINK("http://pre.mgx.dev/chat/ed44e77544044ccabbc923a39b3115b1", "http://pre.mgx.dev/chat/ed44e77544044ccabbc923a39b3115b1")</f>
        <v>http://pre.mgx.dev/chat/ed44e77544044ccabbc923a39b3115b1</v>
      </c>
      <c r="M267" s="2" t="str">
        <f>=HYPERLINK("", "https://45759-ed44e77544044ccabbc923a39b3115b1-3-latest.app.beta.mgx.dev")</f>
        <v>https://45759-ed44e77544044ccabbc923a39b3115b1-3-latest.app.beta.mgx.dev</v>
      </c>
      <c r="N267" s="2" t="str">
        <f>=HYPERLINK("mailto:eval_49@auto.com", "eval_49@auto.com")</f>
        <v>eval_49@auto.com</v>
      </c>
      <c r="O267" t="inlineStr">
        <is>
          <t>ed44e77544044ccabbc923a39b3115b1</t>
        </is>
      </c>
    </row>
    <row r="268" ht="25.5" customHeight="1">
      <c r="A268" t="inlineStr">
        <is>
          <t>LUXURY photography portfolio</t>
        </is>
      </c>
      <c r="B268">
        <v>22</v>
      </c>
      <c r="C268" t="inlineStr">
        <is>
          <t>@杨春玉</t>
        </is>
      </c>
      <c r="D268">
        <v>0</v>
      </c>
      <c r="E268" t="inlineStr">
        <is>
          <t>无法使用滑动手势手动切换轮播内容</t>
        </is>
      </c>
      <c r="F268" t="inlineStr">
        <is>
          <t>@陈佳杰</t>
        </is>
      </c>
      <c r="G268">
        <v>0</v>
      </c>
      <c r="H268" t="inlineStr">
        <is>
          <t>无法使用滑动手势手动切换轮播内容</t>
        </is>
      </c>
      <c r="I268">
        <v>12</v>
      </c>
      <c r="J268" t="inlineStr">
        <is>
          <t>Test manual navigation through the carousel using swipe gestures</t>
        </is>
      </c>
      <c r="K268" t="inlineStr">
        <is>
          <t>测试使用滑动手势手动切换轮播内容</t>
        </is>
      </c>
      <c r="L268" s="2" t="str">
        <f>=HYPERLINK("http://pre.mgx.dev/chat/ed44e77544044ccabbc923a39b3115b1", "http://pre.mgx.dev/chat/ed44e77544044ccabbc923a39b3115b1")</f>
        <v>http://pre.mgx.dev/chat/ed44e77544044ccabbc923a39b3115b1</v>
      </c>
      <c r="M268" s="2" t="str">
        <f>=HYPERLINK("", "https://45759-ed44e77544044ccabbc923a39b3115b1-3-latest.app.beta.mgx.dev")</f>
        <v>https://45759-ed44e77544044ccabbc923a39b3115b1-3-latest.app.beta.mgx.dev</v>
      </c>
      <c r="N268" s="2" t="str">
        <f>=HYPERLINK("mailto:eval_49@auto.com", "eval_49@auto.com")</f>
        <v>eval_49@auto.com</v>
      </c>
      <c r="O268" t="inlineStr">
        <is>
          <t>ed44e77544044ccabbc923a39b3115b1</t>
        </is>
      </c>
    </row>
    <row r="269" ht="25.5" customHeight="1">
      <c r="A269" t="inlineStr">
        <is>
          <t>LUXURY photography portfolio</t>
        </is>
      </c>
      <c r="B269">
        <v>22</v>
      </c>
      <c r="C269" t="inlineStr">
        <is>
          <t>@杨春玉</t>
        </is>
      </c>
      <c r="D269">
        <v>0</v>
      </c>
      <c r="E269" t="inlineStr">
        <is>
          <t>每次只能展开一个</t>
        </is>
      </c>
      <c r="F269" t="inlineStr">
        <is>
          <t>@陈佳杰</t>
        </is>
      </c>
      <c r="G269">
        <v>0</v>
      </c>
      <c r="H269" t="inlineStr">
        <is>
          <t>每次只能展开一个</t>
        </is>
      </c>
      <c r="I269">
        <v>13</v>
      </c>
      <c r="J269" t="inlineStr">
        <is>
          <t>Verify that multiple service descriptions can be expanded simultaneously</t>
        </is>
      </c>
      <c r="K269" t="inlineStr">
        <is>
          <t>验证可同时展开多个服务描述</t>
        </is>
      </c>
      <c r="L269" s="2" t="str">
        <f>=HYPERLINK("http://pre.mgx.dev/chat/ed44e77544044ccabbc923a39b3115b1", "http://pre.mgx.dev/chat/ed44e77544044ccabbc923a39b3115b1")</f>
        <v>http://pre.mgx.dev/chat/ed44e77544044ccabbc923a39b3115b1</v>
      </c>
      <c r="M269" s="2" t="str">
        <f>=HYPERLINK("", "https://45759-ed44e77544044ccabbc923a39b3115b1-3-latest.app.beta.mgx.dev")</f>
        <v>https://45759-ed44e77544044ccabbc923a39b3115b1-3-latest.app.beta.mgx.dev</v>
      </c>
      <c r="N269" s="2" t="str">
        <f>=HYPERLINK("mailto:eval_49@auto.com", "eval_49@auto.com")</f>
        <v>eval_49@auto.com</v>
      </c>
      <c r="O269" t="inlineStr">
        <is>
          <t>ed44e77544044ccabbc923a39b3115b1</t>
        </is>
      </c>
    </row>
    <row r="270" ht="25.5" customHeight="1">
      <c r="A270" t="inlineStr">
        <is>
          <t>LUXURY photography portfolio</t>
        </is>
      </c>
      <c r="B270">
        <v>22</v>
      </c>
      <c r="C270" t="inlineStr">
        <is>
          <t>@杨春玉</t>
        </is>
      </c>
      <c r="D270">
        <v>1</v>
      </c>
      <c r="E270"/>
      <c r="F270" t="inlineStr">
        <is>
          <t>@陈佳杰</t>
        </is>
      </c>
      <c r="G270">
        <v>1</v>
      </c>
      <c r="H270"/>
      <c r="I270">
        <v>14</v>
      </c>
      <c r="J270" t="inlineStr">
        <is>
          <t>Verify that the automatic slideshow functionality is working</t>
        </is>
      </c>
      <c r="K270" t="inlineStr">
        <is>
          <t>验证自动轮播功能正常工作</t>
        </is>
      </c>
      <c r="L270" s="2" t="str">
        <f>=HYPERLINK("http://pre.mgx.dev/chat/ed44e77544044ccabbc923a39b3115b1", "http://pre.mgx.dev/chat/ed44e77544044ccabbc923a39b3115b1")</f>
        <v>http://pre.mgx.dev/chat/ed44e77544044ccabbc923a39b3115b1</v>
      </c>
      <c r="M270" s="2" t="str">
        <f>=HYPERLINK("", "https://45759-ed44e77544044ccabbc923a39b3115b1-3-latest.app.beta.mgx.dev")</f>
        <v>https://45759-ed44e77544044ccabbc923a39b3115b1-3-latest.app.beta.mgx.dev</v>
      </c>
      <c r="N270" s="2" t="str">
        <f>=HYPERLINK("mailto:eval_49@auto.com", "eval_49@auto.com")</f>
        <v>eval_49@auto.com</v>
      </c>
      <c r="O270" t="inlineStr">
        <is>
          <t>ed44e77544044ccabbc923a39b3115b1</t>
        </is>
      </c>
    </row>
    <row r="271" ht="25.5" customHeight="1">
      <c r="A271" t="inlineStr">
        <is>
          <t>LUXURY photography portfolio</t>
        </is>
      </c>
      <c r="B271">
        <v>22</v>
      </c>
      <c r="C271" t="inlineStr">
        <is>
          <t>@杨春玉</t>
        </is>
      </c>
      <c r="D271">
        <v>1</v>
      </c>
      <c r="E271"/>
      <c r="F271" t="inlineStr">
        <is>
          <t>@陈佳杰</t>
        </is>
      </c>
      <c r="G271">
        <v>1</v>
      </c>
      <c r="H271"/>
      <c r="I271">
        <v>15</v>
      </c>
      <c r="J271" t="inlineStr">
        <is>
          <t>Verify that the navigation bar is present at the top of the webpage</t>
        </is>
      </c>
      <c r="K271" t="inlineStr">
        <is>
          <t>验证网页顶部展示导航栏</t>
        </is>
      </c>
      <c r="L271" s="2" t="str">
        <f>=HYPERLINK("http://pre.mgx.dev/chat/ed44e77544044ccabbc923a39b3115b1", "http://pre.mgx.dev/chat/ed44e77544044ccabbc923a39b3115b1")</f>
        <v>http://pre.mgx.dev/chat/ed44e77544044ccabbc923a39b3115b1</v>
      </c>
      <c r="M271" s="2" t="str">
        <f>=HYPERLINK("", "https://45759-ed44e77544044ccabbc923a39b3115b1-3-latest.app.beta.mgx.dev")</f>
        <v>https://45759-ed44e77544044ccabbc923a39b3115b1-3-latest.app.beta.mgx.dev</v>
      </c>
      <c r="N271" s="2" t="str">
        <f>=HYPERLINK("mailto:eval_49@auto.com", "eval_49@auto.com")</f>
        <v>eval_49@auto.com</v>
      </c>
      <c r="O271" t="inlineStr">
        <is>
          <t>ed44e77544044ccabbc923a39b3115b1</t>
        </is>
      </c>
    </row>
    <row r="272" ht="25.5" customHeight="1">
      <c r="A272" t="inlineStr">
        <is>
          <t>LUXURY photography portfolio</t>
        </is>
      </c>
      <c r="B272">
        <v>22</v>
      </c>
      <c r="C272" t="inlineStr">
        <is>
          <t>@杨春玉</t>
        </is>
      </c>
      <c r="D272">
        <v>1</v>
      </c>
      <c r="E272"/>
      <c r="F272" t="inlineStr">
        <is>
          <t>@陈佳杰</t>
        </is>
      </c>
      <c r="G272">
        <v>1</v>
      </c>
      <c r="H272"/>
      <c r="I272">
        <v>16</v>
      </c>
      <c r="J272" t="inlineStr">
        <is>
          <t>Verify that the product photography carousel is present on the webpage</t>
        </is>
      </c>
      <c r="K272" t="inlineStr">
        <is>
          <t>验证网页上存在产品摄影轮播图</t>
        </is>
      </c>
      <c r="L272" s="2" t="str">
        <f>=HYPERLINK("http://pre.mgx.dev/chat/ed44e77544044ccabbc923a39b3115b1", "http://pre.mgx.dev/chat/ed44e77544044ccabbc923a39b3115b1")</f>
        <v>http://pre.mgx.dev/chat/ed44e77544044ccabbc923a39b3115b1</v>
      </c>
      <c r="M272" s="2" t="str">
        <f>=HYPERLINK("", "https://45759-ed44e77544044ccabbc923a39b3115b1-3-latest.app.beta.mgx.dev")</f>
        <v>https://45759-ed44e77544044ccabbc923a39b3115b1-3-latest.app.beta.mgx.dev</v>
      </c>
      <c r="N272" s="2" t="str">
        <f>=HYPERLINK("mailto:eval_49@auto.com", "eval_49@auto.com")</f>
        <v>eval_49@auto.com</v>
      </c>
      <c r="O272" t="inlineStr">
        <is>
          <t>ed44e77544044ccabbc923a39b3115b1</t>
        </is>
      </c>
    </row>
    <row r="273" ht="25.5" customHeight="1">
      <c r="A273" t="inlineStr">
        <is>
          <t>LUXURY photography portfolio</t>
        </is>
      </c>
      <c r="B273">
        <v>22</v>
      </c>
      <c r="C273" t="inlineStr">
        <is>
          <t>@杨春玉</t>
        </is>
      </c>
      <c r="D273">
        <v>1</v>
      </c>
      <c r="E273"/>
      <c r="F273" t="inlineStr">
        <is>
          <t>@陈佳杰</t>
        </is>
      </c>
      <c r="G273">
        <v>1</v>
      </c>
      <c r="H273"/>
      <c r="I273">
        <v>17</v>
      </c>
      <c r="J273" t="inlineStr">
        <is>
          <t>Verify the presence of clickable photography pieces on the webpage</t>
        </is>
      </c>
      <c r="K273" t="inlineStr">
        <is>
          <t>验证网页上存在可点击的摄影作品</t>
        </is>
      </c>
      <c r="L273" s="2" t="str">
        <f>=HYPERLINK("http://pre.mgx.dev/chat/ed44e77544044ccabbc923a39b3115b1", "http://pre.mgx.dev/chat/ed44e77544044ccabbc923a39b3115b1")</f>
        <v>http://pre.mgx.dev/chat/ed44e77544044ccabbc923a39b3115b1</v>
      </c>
      <c r="M273" s="2" t="str">
        <f>=HYPERLINK("", "https://45759-ed44e77544044ccabbc923a39b3115b1-3-latest.app.beta.mgx.dev")</f>
        <v>https://45759-ed44e77544044ccabbc923a39b3115b1-3-latest.app.beta.mgx.dev</v>
      </c>
      <c r="N273" s="2" t="str">
        <f>=HYPERLINK("mailto:eval_49@auto.com", "eval_49@auto.com")</f>
        <v>eval_49@auto.com</v>
      </c>
      <c r="O273" t="inlineStr">
        <is>
          <t>ed44e77544044ccabbc923a39b3115b1</t>
        </is>
      </c>
    </row>
    <row r="274" ht="25.5" customHeight="1">
      <c r="A274" t="inlineStr">
        <is>
          <t>Language Spelling Bee</t>
        </is>
      </c>
      <c r="B274">
        <v>23</v>
      </c>
      <c r="C274" t="inlineStr">
        <is>
          <t>@杨春玉</t>
        </is>
      </c>
      <c r="D274">
        <v>1</v>
      </c>
      <c r="E274"/>
      <c r="F274" t="inlineStr">
        <is>
          <t>@陈佳杰</t>
        </is>
      </c>
      <c r="G274">
        <v>1</v>
      </c>
      <c r="H274"/>
      <c r="I274">
        <v>1</v>
      </c>
      <c r="J274" t="inlineStr">
        <is>
          <t>Check if difficulty levels (beginner/intermediate/advanced) are displayed</t>
        </is>
      </c>
      <c r="K274" t="inlineStr">
        <is>
          <t>检查是否展示难度等级（初级/中级/高级）</t>
        </is>
      </c>
      <c r="L274" s="2" t="str">
        <f>=HYPERLINK("https://atoms.dev/chat/7b150905c87443c4b5233d59b5577cda", "https://atoms.dev/chat/7b150905c87443c4b5233d59b5577cda")</f>
        <v>https://atoms.dev/chat/7b150905c87443c4b5233d59b5577cda</v>
      </c>
      <c r="M274" s="2" t="str">
        <f>=HYPERLINK("https://890127-7b150905c87443c4b5233d59b5577cda-latest-dev.dev.atoms.dev/", "https://890127-7b150905c87443c4b5233d59b5577cda-latest-dev.dev.atoms.dev/")</f>
        <v>https://890127-7b150905c87443c4b5233d59b5577cda-latest-dev.dev.atoms.dev/</v>
      </c>
      <c r="N274" s="2" t="str">
        <f>=HYPERLINK("http://press_test6@mgx.dev", "press_test6@mgx.dev")</f>
        <v>press_test6@mgx.dev</v>
      </c>
      <c r="O274" t="inlineStr">
        <is>
          <t>7b150905c87443c4b5233d59b5577cda</t>
        </is>
      </c>
    </row>
    <row r="275" ht="25.5" customHeight="1">
      <c r="A275" t="inlineStr">
        <is>
          <t>Language Spelling Bee</t>
        </is>
      </c>
      <c r="B275">
        <v>23</v>
      </c>
      <c r="C275" t="inlineStr">
        <is>
          <t>@杨春玉</t>
        </is>
      </c>
      <c r="D275">
        <v>1</v>
      </c>
      <c r="E275"/>
      <c r="F275" t="inlineStr">
        <is>
          <t>@陈佳杰</t>
        </is>
      </c>
      <c r="G275">
        <v>1</v>
      </c>
      <c r="H275"/>
      <c r="I275">
        <v>2</v>
      </c>
      <c r="J275" t="inlineStr">
        <is>
          <t>Check if incorrect spellings are marked as wrong</t>
        </is>
      </c>
      <c r="K275" t="inlineStr">
        <is>
          <t>检查拼写错误的单词是否被标记</t>
        </is>
      </c>
      <c r="L275" s="2" t="str">
        <f>=HYPERLINK("https://atoms.dev/chat/7b150905c87443c4b5233d59b5577cda", "https://atoms.dev/chat/7b150905c87443c4b5233d59b5577cda")</f>
        <v>https://atoms.dev/chat/7b150905c87443c4b5233d59b5577cda</v>
      </c>
      <c r="M275" s="2" t="str">
        <f>=HYPERLINK("https://890127-7b150905c87443c4b5233d59b5577cda-latest-dev.dev.atoms.dev/", "https://890127-7b150905c87443c4b5233d59b5577cda-latest-dev.dev.atoms.dev/")</f>
        <v>https://890127-7b150905c87443c4b5233d59b5577cda-latest-dev.dev.atoms.dev/</v>
      </c>
      <c r="N275" s="2" t="str">
        <f>=HYPERLINK("http://press_test6@mgx.dev", "press_test6@mgx.dev")</f>
        <v>press_test6@mgx.dev</v>
      </c>
      <c r="O275" t="inlineStr">
        <is>
          <t>7b150905c87443c4b5233d59b5577cda</t>
        </is>
      </c>
    </row>
    <row r="276" ht="25.5" customHeight="1">
      <c r="A276" t="inlineStr">
        <is>
          <t>Language Spelling Bee</t>
        </is>
      </c>
      <c r="B276">
        <v>23</v>
      </c>
      <c r="C276" t="inlineStr">
        <is>
          <t>@杨春玉</t>
        </is>
      </c>
      <c r="D276">
        <v>1</v>
      </c>
      <c r="E276"/>
      <c r="F276" t="inlineStr">
        <is>
          <t>@陈佳杰</t>
        </is>
      </c>
      <c r="G276">
        <v>1</v>
      </c>
      <c r="H276"/>
      <c r="I276">
        <v>3</v>
      </c>
      <c r="J276" t="inlineStr">
        <is>
          <t>Check if quiz includes words from selected difficulty level</t>
        </is>
      </c>
      <c r="K276" t="inlineStr">
        <is>
          <t>检查测验是否包含所选难度等级的单词</t>
        </is>
      </c>
      <c r="L276" s="2" t="str">
        <f>=HYPERLINK("https://atoms.dev/chat/7b150905c87443c4b5233d59b5577cda", "https://atoms.dev/chat/7b150905c87443c4b5233d59b5577cda")</f>
        <v>https://atoms.dev/chat/7b150905c87443c4b5233d59b5577cda</v>
      </c>
      <c r="M276" s="2" t="str">
        <f>=HYPERLINK("https://890127-7b150905c87443c4b5233d59b5577cda-latest-dev.dev.atoms.dev/", "https://890127-7b150905c87443c4b5233d59b5577cda-latest-dev.dev.atoms.dev/")</f>
        <v>https://890127-7b150905c87443c4b5233d59b5577cda-latest-dev.dev.atoms.dev/</v>
      </c>
      <c r="N276" s="2" t="str">
        <f>=HYPERLINK("http://press_test6@mgx.dev", "press_test6@mgx.dev")</f>
        <v>press_test6@mgx.dev</v>
      </c>
      <c r="O276" t="inlineStr">
        <is>
          <t>7b150905c87443c4b5233d59b5577cda</t>
        </is>
      </c>
    </row>
    <row r="277" ht="25.5" customHeight="1">
      <c r="A277" t="inlineStr">
        <is>
          <t>Language Spelling Bee</t>
        </is>
      </c>
      <c r="B277">
        <v>23</v>
      </c>
      <c r="C277" t="inlineStr">
        <is>
          <t>@杨春玉</t>
        </is>
      </c>
      <c r="D277">
        <v>1</v>
      </c>
      <c r="E277"/>
      <c r="F277" t="inlineStr">
        <is>
          <t>@陈佳杰</t>
        </is>
      </c>
      <c r="G277">
        <v>1</v>
      </c>
      <c r="H277"/>
      <c r="I277">
        <v>4</v>
      </c>
      <c r="J277" t="inlineStr">
        <is>
          <t>Check if words are correctly categorized by difficulty level</t>
        </is>
      </c>
      <c r="K277" t="inlineStr">
        <is>
          <t>检查单词是否按难度等级正确分类</t>
        </is>
      </c>
      <c r="L277" s="2" t="str">
        <f>=HYPERLINK("https://atoms.dev/chat/7b150905c87443c4b5233d59b5577cda", "https://atoms.dev/chat/7b150905c87443c4b5233d59b5577cda")</f>
        <v>https://atoms.dev/chat/7b150905c87443c4b5233d59b5577cda</v>
      </c>
      <c r="M277" s="2" t="str">
        <f>=HYPERLINK("https://890127-7b150905c87443c4b5233d59b5577cda-latest-dev.dev.atoms.dev/", "https://890127-7b150905c87443c4b5233d59b5577cda-latest-dev.dev.atoms.dev/")</f>
        <v>https://890127-7b150905c87443c4b5233d59b5577cda-latest-dev.dev.atoms.dev/</v>
      </c>
      <c r="N277" s="2" t="str">
        <f>=HYPERLINK("http://press_test6@mgx.dev", "press_test6@mgx.dev")</f>
        <v>press_test6@mgx.dev</v>
      </c>
      <c r="O277" t="inlineStr">
        <is>
          <t>7b150905c87443c4b5233d59b5577cda</t>
        </is>
      </c>
    </row>
    <row r="278" ht="25.5" customHeight="1">
      <c r="A278" t="inlineStr">
        <is>
          <t>Language Spelling Bee</t>
        </is>
      </c>
      <c r="B278">
        <v>23</v>
      </c>
      <c r="C278" t="inlineStr">
        <is>
          <t>@杨春玉</t>
        </is>
      </c>
      <c r="D278">
        <v>1</v>
      </c>
      <c r="E278"/>
      <c r="F278" t="inlineStr">
        <is>
          <t>@陈佳杰</t>
        </is>
      </c>
      <c r="G278">
        <v>1</v>
      </c>
      <c r="H278"/>
      <c r="I278">
        <v>5</v>
      </c>
      <c r="J278" t="inlineStr">
        <is>
          <t>Ensure correct spelling is displayed for wrong answers</t>
        </is>
      </c>
      <c r="K278" t="inlineStr">
        <is>
          <t>确保错误答案旁展示正确拼写</t>
        </is>
      </c>
      <c r="L278" s="2" t="str">
        <f>=HYPERLINK("https://atoms.dev/chat/7b150905c87443c4b5233d59b5577cda", "https://atoms.dev/chat/7b150905c87443c4b5233d59b5577cda")</f>
        <v>https://atoms.dev/chat/7b150905c87443c4b5233d59b5577cda</v>
      </c>
      <c r="M278" s="2" t="str">
        <f>=HYPERLINK("https://890127-7b150905c87443c4b5233d59b5577cda-latest-dev.dev.atoms.dev/", "https://890127-7b150905c87443c4b5233d59b5577cda-latest-dev.dev.atoms.dev/")</f>
        <v>https://890127-7b150905c87443c4b5233d59b5577cda-latest-dev.dev.atoms.dev/</v>
      </c>
      <c r="N278" s="2" t="str">
        <f>=HYPERLINK("http://press_test6@mgx.dev", "press_test6@mgx.dev")</f>
        <v>press_test6@mgx.dev</v>
      </c>
      <c r="O278" t="inlineStr">
        <is>
          <t>7b150905c87443c4b5233d59b5577cda</t>
        </is>
      </c>
    </row>
    <row r="279" ht="25.5" customHeight="1">
      <c r="A279" t="inlineStr">
        <is>
          <t>Language Spelling Bee</t>
        </is>
      </c>
      <c r="B279">
        <v>23</v>
      </c>
      <c r="C279" t="inlineStr">
        <is>
          <t>@杨春玉</t>
        </is>
      </c>
      <c r="D279">
        <v>1</v>
      </c>
      <c r="E279"/>
      <c r="F279" t="inlineStr">
        <is>
          <t>@陈佳杰</t>
        </is>
      </c>
      <c r="G279">
        <v>1</v>
      </c>
      <c r="H279"/>
      <c r="I279">
        <v>6</v>
      </c>
      <c r="J279" t="inlineStr">
        <is>
          <t>Ensure performance graphs are also available by difficulty level</t>
        </is>
      </c>
      <c r="K279" t="inlineStr">
        <is>
          <t>确保成绩图表也可按难度等级查看</t>
        </is>
      </c>
      <c r="L279" s="2" t="str">
        <f>=HYPERLINK("https://atoms.dev/chat/7b150905c87443c4b5233d59b5577cda", "https://atoms.dev/chat/7b150905c87443c4b5233d59b5577cda")</f>
        <v>https://atoms.dev/chat/7b150905c87443c4b5233d59b5577cda</v>
      </c>
      <c r="M279" s="2" t="str">
        <f>=HYPERLINK("https://890127-7b150905c87443c4b5233d59b5577cda-latest-dev.dev.atoms.dev/", "https://890127-7b150905c87443c4b5233d59b5577cda-latest-dev.dev.atoms.dev/")</f>
        <v>https://890127-7b150905c87443c4b5233d59b5577cda-latest-dev.dev.atoms.dev/</v>
      </c>
      <c r="N279" s="2" t="str">
        <f>=HYPERLINK("http://press_test6@mgx.dev", "press_test6@mgx.dev")</f>
        <v>press_test6@mgx.dev</v>
      </c>
      <c r="O279" t="inlineStr">
        <is>
          <t>7b150905c87443c4b5233d59b5577cda</t>
        </is>
      </c>
    </row>
    <row r="280" ht="25.5" customHeight="1">
      <c r="A280" t="inlineStr">
        <is>
          <t>Language Spelling Bee</t>
        </is>
      </c>
      <c r="B280">
        <v>23</v>
      </c>
      <c r="C280" t="inlineStr">
        <is>
          <t>@杨春玉</t>
        </is>
      </c>
      <c r="D280">
        <v>0</v>
      </c>
      <c r="E280" t="inlineStr">
        <is>
          <t>German、Frenchd点击测验无交互</t>
        </is>
      </c>
      <c r="F280" t="inlineStr">
        <is>
          <t>@陈佳杰</t>
        </is>
      </c>
      <c r="G280">
        <v>0</v>
      </c>
      <c r="H280" t="inlineStr">
        <is>
          <t>部分语种无交互</t>
        </is>
      </c>
      <c r="I280">
        <v>7</v>
      </c>
      <c r="J280" t="inlineStr">
        <is>
          <t>Ensure quiz covers various topics within selected language</t>
        </is>
      </c>
      <c r="K280" t="inlineStr">
        <is>
          <t>确保测验涵盖所选语言的各类主题</t>
        </is>
      </c>
      <c r="L280" s="2" t="str">
        <f>=HYPERLINK("https://atoms.dev/chat/7b150905c87443c4b5233d59b5577cda", "https://atoms.dev/chat/7b150905c87443c4b5233d59b5577cda")</f>
        <v>https://atoms.dev/chat/7b150905c87443c4b5233d59b5577cda</v>
      </c>
      <c r="M280" s="2" t="str">
        <f>=HYPERLINK("https://890127-7b150905c87443c4b5233d59b5577cda-latest-dev.dev.atoms.dev/", "https://890127-7b150905c87443c4b5233d59b5577cda-latest-dev.dev.atoms.dev/")</f>
        <v>https://890127-7b150905c87443c4b5233d59b5577cda-latest-dev.dev.atoms.dev/</v>
      </c>
      <c r="N280" s="2" t="str">
        <f>=HYPERLINK("http://press_test6@mgx.dev", "press_test6@mgx.dev")</f>
        <v>press_test6@mgx.dev</v>
      </c>
      <c r="O280" t="inlineStr">
        <is>
          <t>7b150905c87443c4b5233d59b5577cda</t>
        </is>
      </c>
    </row>
    <row r="281" ht="25.5" customHeight="1">
      <c r="A281" t="inlineStr">
        <is>
          <t>Language Spelling Bee</t>
        </is>
      </c>
      <c r="B281">
        <v>23</v>
      </c>
      <c r="C281" t="inlineStr">
        <is>
          <t>@杨春玉</t>
        </is>
      </c>
      <c r="D281">
        <v>1</v>
      </c>
      <c r="E281"/>
      <c r="F281" t="inlineStr">
        <is>
          <t>@陈佳杰</t>
        </is>
      </c>
      <c r="G281">
        <v>1</v>
      </c>
      <c r="H281"/>
      <c r="I281">
        <v>8</v>
      </c>
      <c r="J281" t="inlineStr">
        <is>
          <t>Ensure user can select a difficulty level</t>
        </is>
      </c>
      <c r="K281" t="inlineStr">
        <is>
          <t>确保用户可选择难度等级</t>
        </is>
      </c>
      <c r="L281" s="2" t="str">
        <f>=HYPERLINK("https://atoms.dev/chat/7b150905c87443c4b5233d59b5577cda", "https://atoms.dev/chat/7b150905c87443c4b5233d59b5577cda")</f>
        <v>https://atoms.dev/chat/7b150905c87443c4b5233d59b5577cda</v>
      </c>
      <c r="M281" s="2" t="str">
        <f>=HYPERLINK("https://890127-7b150905c87443c4b5233d59b5577cda-latest-dev.dev.atoms.dev/", "https://890127-7b150905c87443c4b5233d59b5577cda-latest-dev.dev.atoms.dev/")</f>
        <v>https://890127-7b150905c87443c4b5233d59b5577cda-latest-dev.dev.atoms.dev/</v>
      </c>
      <c r="N281" s="2" t="str">
        <f>=HYPERLINK("http://press_test6@mgx.dev", "press_test6@mgx.dev")</f>
        <v>press_test6@mgx.dev</v>
      </c>
      <c r="O281" t="inlineStr">
        <is>
          <t>7b150905c87443c4b5233d59b5577cda</t>
        </is>
      </c>
    </row>
    <row r="282" ht="25.5" customHeight="1">
      <c r="A282" t="inlineStr">
        <is>
          <t>Language Spelling Bee</t>
        </is>
      </c>
      <c r="B282">
        <v>23</v>
      </c>
      <c r="C282" t="inlineStr">
        <is>
          <t>@杨春玉</t>
        </is>
      </c>
      <c r="D282">
        <v>1</v>
      </c>
      <c r="E282"/>
      <c r="F282" t="inlineStr">
        <is>
          <t>@陈佳杰</t>
        </is>
      </c>
      <c r="G282">
        <v>1</v>
      </c>
      <c r="H282"/>
      <c r="I282">
        <v>9</v>
      </c>
      <c r="J282" t="inlineStr">
        <is>
          <t>Ensure words are organized by topics within each language</t>
        </is>
      </c>
      <c r="K282" t="inlineStr">
        <is>
          <t>确保单词在各语言内按主题分类</t>
        </is>
      </c>
      <c r="L282" s="2" t="str">
        <f>=HYPERLINK("https://atoms.dev/chat/7b150905c87443c4b5233d59b5577cda", "https://atoms.dev/chat/7b150905c87443c4b5233d59b5577cda")</f>
        <v>https://atoms.dev/chat/7b150905c87443c4b5233d59b5577cda</v>
      </c>
      <c r="M282" s="2" t="str">
        <f>=HYPERLINK("https://890127-7b150905c87443c4b5233d59b5577cda-latest-dev.dev.atoms.dev/", "https://890127-7b150905c87443c4b5233d59b5577cda-latest-dev.dev.atoms.dev/")</f>
        <v>https://890127-7b150905c87443c4b5233d59b5577cda-latest-dev.dev.atoms.dev/</v>
      </c>
      <c r="N282" s="2" t="str">
        <f>=HYPERLINK("http://press_test6@mgx.dev", "press_test6@mgx.dev")</f>
        <v>press_test6@mgx.dev</v>
      </c>
      <c r="O282" t="inlineStr">
        <is>
          <t>7b150905c87443c4b5233d59b5577cda</t>
        </is>
      </c>
    </row>
    <row r="283" ht="25.5" customHeight="1">
      <c r="A283" t="inlineStr">
        <is>
          <t>Language Spelling Bee</t>
        </is>
      </c>
      <c r="B283">
        <v>23</v>
      </c>
      <c r="C283" t="inlineStr">
        <is>
          <t>@杨春玉</t>
        </is>
      </c>
      <c r="D283">
        <v>1</v>
      </c>
      <c r="E283"/>
      <c r="F283" t="inlineStr">
        <is>
          <t>@陈佳杰</t>
        </is>
      </c>
      <c r="G283">
        <v>1</v>
      </c>
      <c r="H283"/>
      <c r="I283">
        <v>10</v>
      </c>
      <c r="J283" t="inlineStr">
        <is>
          <t>Test if feedback is provided immediately after user submits spelling</t>
        </is>
      </c>
      <c r="K283" t="inlineStr">
        <is>
          <t>测试用户提交拼写答案后是否即时给出反馈</t>
        </is>
      </c>
      <c r="L283" s="2" t="str">
        <f>=HYPERLINK("https://atoms.dev/chat/7b150905c87443c4b5233d59b5577cda", "https://atoms.dev/chat/7b150905c87443c4b5233d59b5577cda")</f>
        <v>https://atoms.dev/chat/7b150905c87443c4b5233d59b5577cda</v>
      </c>
      <c r="M283" s="2" t="str">
        <f>=HYPERLINK("https://890127-7b150905c87443c4b5233d59b5577cda-latest-dev.dev.atoms.dev/", "https://890127-7b150905c87443c4b5233d59b5577cda-latest-dev.dev.atoms.dev/")</f>
        <v>https://890127-7b150905c87443c4b5233d59b5577cda-latest-dev.dev.atoms.dev/</v>
      </c>
      <c r="N283" s="2" t="str">
        <f>=HYPERLINK("http://press_test6@mgx.dev", "press_test6@mgx.dev")</f>
        <v>press_test6@mgx.dev</v>
      </c>
      <c r="O283" t="inlineStr">
        <is>
          <t>7b150905c87443c4b5233d59b5577cda</t>
        </is>
      </c>
    </row>
    <row r="284" ht="25.5" customHeight="1">
      <c r="A284" t="inlineStr">
        <is>
          <t>Language Spelling Bee</t>
        </is>
      </c>
      <c r="B284">
        <v>23</v>
      </c>
      <c r="C284" t="inlineStr">
        <is>
          <t>@杨春玉</t>
        </is>
      </c>
      <c r="D284">
        <v>1</v>
      </c>
      <c r="E284"/>
      <c r="F284" t="inlineStr">
        <is>
          <t>@陈佳杰</t>
        </is>
      </c>
      <c r="G284">
        <v>1</v>
      </c>
      <c r="H284"/>
      <c r="I284">
        <v>11</v>
      </c>
      <c r="J284" t="inlineStr">
        <is>
          <t>Test language selection interface displays all available languages</t>
        </is>
      </c>
      <c r="K284" t="inlineStr">
        <is>
          <t>测试语言选择界面展示所有可用语言</t>
        </is>
      </c>
      <c r="L284" s="2" t="str">
        <f>=HYPERLINK("https://atoms.dev/chat/7b150905c87443c4b5233d59b5577cda", "https://atoms.dev/chat/7b150905c87443c4b5233d59b5577cda")</f>
        <v>https://atoms.dev/chat/7b150905c87443c4b5233d59b5577cda</v>
      </c>
      <c r="M284" s="2" t="str">
        <f>=HYPERLINK("https://890127-7b150905c87443c4b5233d59b5577cda-latest-dev.dev.atoms.dev/", "https://890127-7b150905c87443c4b5233d59b5577cda-latest-dev.dev.atoms.dev/")</f>
        <v>https://890127-7b150905c87443c4b5233d59b5577cda-latest-dev.dev.atoms.dev/</v>
      </c>
      <c r="N284" s="2" t="str">
        <f>=HYPERLINK("http://press_test6@mgx.dev", "press_test6@mgx.dev")</f>
        <v>press_test6@mgx.dev</v>
      </c>
      <c r="O284" t="inlineStr">
        <is>
          <t>7b150905c87443c4b5233d59b5577cda</t>
        </is>
      </c>
    </row>
    <row r="285" ht="25.5" customHeight="1">
      <c r="A285" t="inlineStr">
        <is>
          <t>Language Spelling Bee</t>
        </is>
      </c>
      <c r="B285">
        <v>23</v>
      </c>
      <c r="C285" t="inlineStr">
        <is>
          <t>@杨春玉</t>
        </is>
      </c>
      <c r="D285">
        <v>1</v>
      </c>
      <c r="E285"/>
      <c r="F285" t="inlineStr">
        <is>
          <t>@陈佳杰</t>
        </is>
      </c>
      <c r="G285">
        <v>1</v>
      </c>
      <c r="H285"/>
      <c r="I285">
        <v>12</v>
      </c>
      <c r="J285" t="inlineStr">
        <is>
          <t>Verify correct spellings are indicated as correct</t>
        </is>
      </c>
      <c r="K285" t="inlineStr">
        <is>
          <t>验证正确的拼写答案被标记为正确</t>
        </is>
      </c>
      <c r="L285" s="2" t="str">
        <f>=HYPERLINK("https://atoms.dev/chat/7b150905c87443c4b5233d59b5577cda", "https://atoms.dev/chat/7b150905c87443c4b5233d59b5577cda")</f>
        <v>https://atoms.dev/chat/7b150905c87443c4b5233d59b5577cda</v>
      </c>
      <c r="M285" s="2" t="str">
        <f>=HYPERLINK("https://890127-7b150905c87443c4b5233d59b5577cda-latest-dev.dev.atoms.dev/", "https://890127-7b150905c87443c4b5233d59b5577cda-latest-dev.dev.atoms.dev/")</f>
        <v>https://890127-7b150905c87443c4b5233d59b5577cda-latest-dev.dev.atoms.dev/</v>
      </c>
      <c r="N285" s="2" t="str">
        <f>=HYPERLINK("http://press_test6@mgx.dev", "press_test6@mgx.dev")</f>
        <v>press_test6@mgx.dev</v>
      </c>
      <c r="O285" t="inlineStr">
        <is>
          <t>7b150905c87443c4b5233d59b5577cda</t>
        </is>
      </c>
    </row>
    <row r="286" ht="25.5" customHeight="1">
      <c r="A286" t="inlineStr">
        <is>
          <t>Language Spelling Bee</t>
        </is>
      </c>
      <c r="B286">
        <v>23</v>
      </c>
      <c r="C286" t="inlineStr">
        <is>
          <t>@杨春玉</t>
        </is>
      </c>
      <c r="D286">
        <v>1</v>
      </c>
      <c r="E286"/>
      <c r="F286" t="inlineStr">
        <is>
          <t>@陈佳杰</t>
        </is>
      </c>
      <c r="G286">
        <v>1</v>
      </c>
      <c r="H286"/>
      <c r="I286">
        <v>13</v>
      </c>
      <c r="J286" t="inlineStr">
        <is>
          <t>Verify quiz scores are recorded after each completed quiz</t>
        </is>
      </c>
      <c r="K286" t="inlineStr">
        <is>
          <t>验证每次完成测验后记录测验分数</t>
        </is>
      </c>
      <c r="L286" s="2" t="str">
        <f>=HYPERLINK("https://atoms.dev/chat/7b150905c87443c4b5233d59b5577cda", "https://atoms.dev/chat/7b150905c87443c4b5233d59b5577cda")</f>
        <v>https://atoms.dev/chat/7b150905c87443c4b5233d59b5577cda</v>
      </c>
      <c r="M286" s="2" t="str">
        <f>=HYPERLINK("https://890127-7b150905c87443c4b5233d59b5577cda-latest-dev.dev.atoms.dev/", "https://890127-7b150905c87443c4b5233d59b5577cda-latest-dev.dev.atoms.dev/")</f>
        <v>https://890127-7b150905c87443c4b5233d59b5577cda-latest-dev.dev.atoms.dev/</v>
      </c>
      <c r="N286" s="2" t="str">
        <f>=HYPERLINK("http://press_test6@mgx.dev", "press_test6@mgx.dev")</f>
        <v>press_test6@mgx.dev</v>
      </c>
      <c r="O286" t="inlineStr">
        <is>
          <t>7b150905c87443c4b5233d59b5577cda</t>
        </is>
      </c>
    </row>
    <row r="287" ht="25.5" customHeight="1">
      <c r="A287" t="inlineStr">
        <is>
          <t>Language Spelling Bee</t>
        </is>
      </c>
      <c r="B287">
        <v>23</v>
      </c>
      <c r="C287" t="inlineStr">
        <is>
          <t>@杨春玉</t>
        </is>
      </c>
      <c r="D287">
        <v>1</v>
      </c>
      <c r="E287"/>
      <c r="F287" t="inlineStr">
        <is>
          <t>@陈佳杰</t>
        </is>
      </c>
      <c r="G287">
        <v>1</v>
      </c>
      <c r="H287"/>
      <c r="I287">
        <v>14</v>
      </c>
      <c r="J287" t="inlineStr">
        <is>
          <t>Verify user can access their score history</t>
        </is>
      </c>
      <c r="K287" t="inlineStr">
        <is>
          <t>验证用户可查看自己的分数历史</t>
        </is>
      </c>
      <c r="L287" s="2" t="str">
        <f>=HYPERLINK("https://atoms.dev/chat/7b150905c87443c4b5233d59b5577cda", "https://atoms.dev/chat/7b150905c87443c4b5233d59b5577cda")</f>
        <v>https://atoms.dev/chat/7b150905c87443c4b5233d59b5577cda</v>
      </c>
      <c r="M287" s="2" t="str">
        <f>=HYPERLINK("https://890127-7b150905c87443c4b5233d59b5577cda-latest-dev.dev.atoms.dev/", "https://890127-7b150905c87443c4b5233d59b5577cda-latest-dev.dev.atoms.dev/")</f>
        <v>https://890127-7b150905c87443c4b5233d59b5577cda-latest-dev.dev.atoms.dev/</v>
      </c>
      <c r="N287" s="2" t="str">
        <f>=HYPERLINK("http://press_test6@mgx.dev", "press_test6@mgx.dev")</f>
        <v>press_test6@mgx.dev</v>
      </c>
      <c r="O287" t="inlineStr">
        <is>
          <t>7b150905c87443c4b5233d59b5577cda</t>
        </is>
      </c>
    </row>
    <row r="288" ht="25.5" customHeight="1">
      <c r="A288" t="inlineStr">
        <is>
          <t>Language Spelling Bee</t>
        </is>
      </c>
      <c r="B288">
        <v>23</v>
      </c>
      <c r="C288" t="inlineStr">
        <is>
          <t>@杨春玉</t>
        </is>
      </c>
      <c r="D288">
        <v>1</v>
      </c>
      <c r="E288"/>
      <c r="F288" t="inlineStr">
        <is>
          <t>@陈佳杰</t>
        </is>
      </c>
      <c r="G288">
        <v>1</v>
      </c>
      <c r="H288"/>
      <c r="I288">
        <v>15</v>
      </c>
      <c r="J288" t="inlineStr">
        <is>
          <t>Verify user can input their spelling attempt</t>
        </is>
      </c>
      <c r="K288" t="inlineStr">
        <is>
          <t>验证用户可输入拼写答案</t>
        </is>
      </c>
      <c r="L288" s="2" t="str">
        <f>=HYPERLINK("https://atoms.dev/chat/7b150905c87443c4b5233d59b5577cda", "https://atoms.dev/chat/7b150905c87443c4b5233d59b5577cda")</f>
        <v>https://atoms.dev/chat/7b150905c87443c4b5233d59b5577cda</v>
      </c>
      <c r="M288" s="2" t="str">
        <f>=HYPERLINK("https://890127-7b150905c87443c4b5233d59b5577cda-latest-dev.dev.atoms.dev/", "https://890127-7b150905c87443c4b5233d59b5577cda-latest-dev.dev.atoms.dev/")</f>
        <v>https://890127-7b150905c87443c4b5233d59b5577cda-latest-dev.dev.atoms.dev/</v>
      </c>
      <c r="N288" s="2" t="str">
        <f>=HYPERLINK("http://press_test6@mgx.dev", "press_test6@mgx.dev")</f>
        <v>press_test6@mgx.dev</v>
      </c>
      <c r="O288" t="inlineStr">
        <is>
          <t>7b150905c87443c4b5233d59b5577cda</t>
        </is>
      </c>
    </row>
    <row r="289" ht="25.5" customHeight="1">
      <c r="A289" t="inlineStr">
        <is>
          <t>Language Spelling Bee</t>
        </is>
      </c>
      <c r="B289">
        <v>23</v>
      </c>
      <c r="C289" t="inlineStr">
        <is>
          <t>@杨春玉</t>
        </is>
      </c>
      <c r="D289">
        <v>1</v>
      </c>
      <c r="E289"/>
      <c r="F289" t="inlineStr">
        <is>
          <t>@陈佳杰</t>
        </is>
      </c>
      <c r="G289">
        <v>1</v>
      </c>
      <c r="H289"/>
      <c r="I289">
        <v>16</v>
      </c>
      <c r="J289" t="inlineStr">
        <is>
          <t>Verify user can select a target language from the available options</t>
        </is>
      </c>
      <c r="K289" t="inlineStr">
        <is>
          <t>验证用户可从可用选项中选择目标语言</t>
        </is>
      </c>
      <c r="L289" s="2" t="str">
        <f>=HYPERLINK("https://atoms.dev/chat/7b150905c87443c4b5233d59b5577cda", "https://atoms.dev/chat/7b150905c87443c4b5233d59b5577cda")</f>
        <v>https://atoms.dev/chat/7b150905c87443c4b5233d59b5577cda</v>
      </c>
      <c r="M289" s="2" t="str">
        <f>=HYPERLINK("https://890127-7b150905c87443c4b5233d59b5577cda-latest-dev.dev.atoms.dev/", "https://890127-7b150905c87443c4b5233d59b5577cda-latest-dev.dev.atoms.dev/")</f>
        <v>https://890127-7b150905c87443c4b5233d59b5577cda-latest-dev.dev.atoms.dev/</v>
      </c>
      <c r="N289" s="2" t="str">
        <f>=HYPERLINK("http://press_test6@mgx.dev", "press_test6@mgx.dev")</f>
        <v>press_test6@mgx.dev</v>
      </c>
      <c r="O289" t="inlineStr">
        <is>
          <t>7b150905c87443c4b5233d59b5577cda</t>
        </is>
      </c>
    </row>
    <row r="290" ht="25.5" customHeight="1">
      <c r="A290" t="inlineStr">
        <is>
          <t>Language Spelling Bee</t>
        </is>
      </c>
      <c r="B290">
        <v>23</v>
      </c>
      <c r="C290" t="inlineStr">
        <is>
          <t>@杨春玉</t>
        </is>
      </c>
      <c r="D290">
        <v>1</v>
      </c>
      <c r="E290"/>
      <c r="F290" t="inlineStr">
        <is>
          <t>@陈佳杰</t>
        </is>
      </c>
      <c r="G290">
        <v>1</v>
      </c>
      <c r="H290"/>
      <c r="I290">
        <v>17</v>
      </c>
      <c r="J290" t="inlineStr">
        <is>
          <t>Verify word database contains words for each available language</t>
        </is>
      </c>
      <c r="K290" t="inlineStr">
        <is>
          <t>验证单词数据库包含各可用语言的单词</t>
        </is>
      </c>
      <c r="L290" s="2" t="str">
        <f>=HYPERLINK("https://atoms.dev/chat/7b150905c87443c4b5233d59b5577cda", "https://atoms.dev/chat/7b150905c87443c4b5233d59b5577cda")</f>
        <v>https://atoms.dev/chat/7b150905c87443c4b5233d59b5577cda</v>
      </c>
      <c r="M290" s="2" t="str">
        <f>=HYPERLINK("https://890127-7b150905c87443c4b5233d59b5577cda-latest-dev.dev.atoms.dev/", "https://890127-7b150905c87443c4b5233d59b5577cda-latest-dev.dev.atoms.dev/")</f>
        <v>https://890127-7b150905c87443c4b5233d59b5577cda-latest-dev.dev.atoms.dev/</v>
      </c>
      <c r="N290" s="2" t="str">
        <f>=HYPERLINK("http://press_test6@mgx.dev", "press_test6@mgx.dev")</f>
        <v>press_test6@mgx.dev</v>
      </c>
      <c r="O290" t="inlineStr">
        <is>
          <t>7b150905c87443c4b5233d59b5577cda</t>
        </is>
      </c>
    </row>
    <row r="291" ht="25.5" customHeight="1">
      <c r="A291" t="inlineStr">
        <is>
          <t>Manufacturer Website</t>
        </is>
      </c>
      <c r="B291">
        <v>24</v>
      </c>
      <c r="C291" t="inlineStr">
        <is>
          <t>@杨春玉</t>
        </is>
      </c>
      <c r="D291">
        <v>0</v>
      </c>
      <c r="E291" t="inlineStr">
        <is>
          <t>无该功能</t>
        </is>
      </c>
      <c r="F291" t="inlineStr">
        <is>
          <t>@陈佳杰</t>
        </is>
      </c>
      <c r="G291">
        <v>1</v>
      </c>
      <c r="H291"/>
      <c r="I291">
        <v>1</v>
      </c>
      <c r="J291" t="inlineStr">
        <is>
          <t>Check if news articles can be clicked to view full content</t>
        </is>
      </c>
      <c r="K291" t="inlineStr">
        <is>
          <t>检查新闻文章是否可点击查看完整内容</t>
        </is>
      </c>
      <c r="L291" s="2" t="str">
        <f>=HYPERLINK("http://pre.mgx.dev/chat/8daf5e8ff48d4eb7963153cc2cca4573", "http://pre.mgx.dev/chat/8daf5e8ff48d4eb7963153cc2cca4573")</f>
        <v>http://pre.mgx.dev/chat/8daf5e8ff48d4eb7963153cc2cca4573</v>
      </c>
      <c r="M291" s="2" t="str">
        <f>=HYPERLINK("", "https://45746-8daf5e8ff48d4eb7963153cc2cca4573-3-latest.app.beta.mgx.dev")</f>
        <v>https://45746-8daf5e8ff48d4eb7963153cc2cca4573-3-latest.app.beta.mgx.dev</v>
      </c>
      <c r="N291" s="2" t="str">
        <f>=HYPERLINK("mailto:eval_36@auto.com", "eval_36@auto.com")</f>
        <v>eval_36@auto.com</v>
      </c>
      <c r="O291" t="inlineStr">
        <is>
          <t>8daf5e8ff48d4eb7963153cc2cca4573</t>
        </is>
      </c>
    </row>
    <row r="292" ht="25.5" customHeight="1">
      <c r="A292" t="inlineStr">
        <is>
          <t>Manufacturer Website</t>
        </is>
      </c>
      <c r="B292">
        <v>24</v>
      </c>
      <c r="C292" t="inlineStr">
        <is>
          <t>@杨春玉</t>
        </is>
      </c>
      <c r="D292">
        <v>0</v>
      </c>
      <c r="E292" t="inlineStr">
        <is>
          <t>无该功能</t>
        </is>
      </c>
      <c r="F292" t="inlineStr">
        <is>
          <t>@陈佳杰</t>
        </is>
      </c>
      <c r="G292">
        <v>0</v>
      </c>
      <c r="H292" t="inlineStr">
        <is>
          <t>无该功能</t>
        </is>
      </c>
      <c r="I292">
        <v>2</v>
      </c>
      <c r="J292" t="inlineStr">
        <is>
          <t>Check if the application process or 'Apply Now' button is functional</t>
        </is>
      </c>
      <c r="K292" t="inlineStr">
        <is>
          <t>检查申请流程或“立即申请”按钮是否功能正常</t>
        </is>
      </c>
      <c r="L292" s="2" t="str">
        <f>=HYPERLINK("http://pre.mgx.dev/chat/8daf5e8ff48d4eb7963153cc2cca4573", "http://pre.mgx.dev/chat/8daf5e8ff48d4eb7963153cc2cca4573")</f>
        <v>http://pre.mgx.dev/chat/8daf5e8ff48d4eb7963153cc2cca4573</v>
      </c>
      <c r="M292" s="2" t="str">
        <f>=HYPERLINK("", "https://45746-8daf5e8ff48d4eb7963153cc2cca4573-3-latest.app.beta.mgx.dev")</f>
        <v>https://45746-8daf5e8ff48d4eb7963153cc2cca4573-3-latest.app.beta.mgx.dev</v>
      </c>
      <c r="N292" s="2" t="str">
        <f>=HYPERLINK("mailto:eval_36@auto.com", "eval_36@auto.com")</f>
        <v>eval_36@auto.com</v>
      </c>
      <c r="O292" t="inlineStr">
        <is>
          <t>8daf5e8ff48d4eb7963153cc2cca4573</t>
        </is>
      </c>
    </row>
    <row r="293" ht="25.5" customHeight="1">
      <c r="A293" t="inlineStr">
        <is>
          <t>Manufacturer Website</t>
        </is>
      </c>
      <c r="B293">
        <v>24</v>
      </c>
      <c r="C293" t="inlineStr">
        <is>
          <t>@杨春玉</t>
        </is>
      </c>
      <c r="D293">
        <v>1</v>
      </c>
      <c r="E293"/>
      <c r="F293" t="inlineStr">
        <is>
          <t>@陈佳杰</t>
        </is>
      </c>
      <c r="G293">
        <v>1</v>
      </c>
      <c r="H293"/>
      <c r="I293">
        <v>3</v>
      </c>
      <c r="J293" t="inlineStr">
        <is>
          <t>Check if the brand tagline or slogan is visible on the homepage</t>
        </is>
      </c>
      <c r="K293" t="inlineStr">
        <is>
          <t>检查首页是否展示品牌标语</t>
        </is>
      </c>
      <c r="L293" s="2" t="str">
        <f>=HYPERLINK("http://pre.mgx.dev/chat/8daf5e8ff48d4eb7963153cc2cca4573", "http://pre.mgx.dev/chat/8daf5e8ff48d4eb7963153cc2cca4573")</f>
        <v>http://pre.mgx.dev/chat/8daf5e8ff48d4eb7963153cc2cca4573</v>
      </c>
      <c r="M293" s="2" t="str">
        <f>=HYPERLINK("", "https://45746-8daf5e8ff48d4eb7963153cc2cca4573-3-latest.app.beta.mgx.dev")</f>
        <v>https://45746-8daf5e8ff48d4eb7963153cc2cca4573-3-latest.app.beta.mgx.dev</v>
      </c>
      <c r="N293" s="2" t="str">
        <f>=HYPERLINK("mailto:eval_36@auto.com", "eval_36@auto.com")</f>
        <v>eval_36@auto.com</v>
      </c>
      <c r="O293" t="inlineStr">
        <is>
          <t>8daf5e8ff48d4eb7963153cc2cca4573</t>
        </is>
      </c>
    </row>
    <row r="294" ht="25.5" customHeight="1">
      <c r="A294" t="inlineStr">
        <is>
          <t>Manufacturer Website</t>
        </is>
      </c>
      <c r="B294">
        <v>24</v>
      </c>
      <c r="C294" t="inlineStr">
        <is>
          <t>@杨春玉</t>
        </is>
      </c>
      <c r="D294">
        <v>1</v>
      </c>
      <c r="E294"/>
      <c r="F294" t="inlineStr">
        <is>
          <t>@陈佳杰</t>
        </is>
      </c>
      <c r="G294">
        <v>1</v>
      </c>
      <c r="H294"/>
      <c r="I294">
        <v>4</v>
      </c>
      <c r="J294" t="inlineStr">
        <is>
          <t>Confirm that the 'Manufacturing' page displays information about production processes</t>
        </is>
      </c>
      <c r="K294" t="inlineStr">
        <is>
          <t>确认“生产制造”页面展示生产流程相关信息</t>
        </is>
      </c>
      <c r="L294" s="2" t="str">
        <f>=HYPERLINK("http://pre.mgx.dev/chat/8daf5e8ff48d4eb7963153cc2cca4573", "http://pre.mgx.dev/chat/8daf5e8ff48d4eb7963153cc2cca4573")</f>
        <v>http://pre.mgx.dev/chat/8daf5e8ff48d4eb7963153cc2cca4573</v>
      </c>
      <c r="M294" s="2" t="str">
        <f>=HYPERLINK("", "https://45746-8daf5e8ff48d4eb7963153cc2cca4573-3-latest.app.beta.mgx.dev")</f>
        <v>https://45746-8daf5e8ff48d4eb7963153cc2cca4573-3-latest.app.beta.mgx.dev</v>
      </c>
      <c r="N294" s="2" t="str">
        <f>=HYPERLINK("mailto:eval_36@auto.com", "eval_36@auto.com")</f>
        <v>eval_36@auto.com</v>
      </c>
      <c r="O294" t="inlineStr">
        <is>
          <t>8daf5e8ff48d4eb7963153cc2cca4573</t>
        </is>
      </c>
    </row>
    <row r="295" ht="25.5" customHeight="1">
      <c r="A295" t="inlineStr">
        <is>
          <t>Manufacturer Website</t>
        </is>
      </c>
      <c r="B295">
        <v>24</v>
      </c>
      <c r="C295" t="inlineStr">
        <is>
          <t>@杨春玉</t>
        </is>
      </c>
      <c r="D295">
        <v>1</v>
      </c>
      <c r="E295"/>
      <c r="F295" t="inlineStr">
        <is>
          <t>@陈佳杰</t>
        </is>
      </c>
      <c r="G295">
        <v>1</v>
      </c>
      <c r="H295"/>
      <c r="I295">
        <v>5</v>
      </c>
      <c r="J295" t="inlineStr">
        <is>
          <t>Confirm the presence of a 'Careers' or 'Jobs' section on the website</t>
        </is>
      </c>
      <c r="K295" t="inlineStr">
        <is>
          <t>确认网站上存在“招聘”板块</t>
        </is>
      </c>
      <c r="L295" s="2" t="str">
        <f>=HYPERLINK("http://pre.mgx.dev/chat/8daf5e8ff48d4eb7963153cc2cca4573", "http://pre.mgx.dev/chat/8daf5e8ff48d4eb7963153cc2cca4573")</f>
        <v>http://pre.mgx.dev/chat/8daf5e8ff48d4eb7963153cc2cca4573</v>
      </c>
      <c r="M295" s="2" t="str">
        <f>=HYPERLINK("", "https://45746-8daf5e8ff48d4eb7963153cc2cca4573-3-latest.app.beta.mgx.dev")</f>
        <v>https://45746-8daf5e8ff48d4eb7963153cc2cca4573-3-latest.app.beta.mgx.dev</v>
      </c>
      <c r="N295" s="2" t="str">
        <f>=HYPERLINK("mailto:eval_36@auto.com", "eval_36@auto.com")</f>
        <v>eval_36@auto.com</v>
      </c>
      <c r="O295" t="inlineStr">
        <is>
          <t>8daf5e8ff48d4eb7963153cc2cca4573</t>
        </is>
      </c>
    </row>
    <row r="296" ht="25.5" customHeight="1">
      <c r="A296" t="inlineStr">
        <is>
          <t>Manufacturer Website</t>
        </is>
      </c>
      <c r="B296">
        <v>24</v>
      </c>
      <c r="C296" t="inlineStr">
        <is>
          <t>@杨春玉</t>
        </is>
      </c>
      <c r="D296">
        <v>1</v>
      </c>
      <c r="E296"/>
      <c r="F296" t="inlineStr">
        <is>
          <t>@陈佳杰</t>
        </is>
      </c>
      <c r="G296">
        <v>1</v>
      </c>
      <c r="H296"/>
      <c r="I296">
        <v>6</v>
      </c>
      <c r="J296" t="inlineStr">
        <is>
          <t>Ensure the company culture information is accessible from the careers page</t>
        </is>
      </c>
      <c r="K296" t="inlineStr">
        <is>
          <t>确保从招聘页面可访问企业文化相关信息</t>
        </is>
      </c>
      <c r="L296" s="2" t="str">
        <f>=HYPERLINK("http://pre.mgx.dev/chat/8daf5e8ff48d4eb7963153cc2cca4573", "http://pre.mgx.dev/chat/8daf5e8ff48d4eb7963153cc2cca4573")</f>
        <v>http://pre.mgx.dev/chat/8daf5e8ff48d4eb7963153cc2cca4573</v>
      </c>
      <c r="M296" s="2" t="str">
        <f>=HYPERLINK("", "https://45746-8daf5e8ff48d4eb7963153cc2cca4573-3-latest.app.beta.mgx.dev")</f>
        <v>https://45746-8daf5e8ff48d4eb7963153cc2cca4573-3-latest.app.beta.mgx.dev</v>
      </c>
      <c r="N296" s="2" t="str">
        <f>=HYPERLINK("mailto:eval_36@auto.com", "eval_36@auto.com")</f>
        <v>eval_36@auto.com</v>
      </c>
      <c r="O296" t="inlineStr">
        <is>
          <t>8daf5e8ff48d4eb7963153cc2cca4573</t>
        </is>
      </c>
    </row>
    <row r="297" ht="25.5" customHeight="1">
      <c r="A297" t="inlineStr">
        <is>
          <t>Manufacturer Website</t>
        </is>
      </c>
      <c r="B297">
        <v>24</v>
      </c>
      <c r="C297" t="inlineStr">
        <is>
          <t>@杨春玉</t>
        </is>
      </c>
      <c r="D297">
        <v>1</v>
      </c>
      <c r="E297"/>
      <c r="F297" t="inlineStr">
        <is>
          <t>@陈佳杰</t>
        </is>
      </c>
      <c r="G297">
        <v>1</v>
      </c>
      <c r="H297"/>
      <c r="I297">
        <v>7</v>
      </c>
      <c r="J297" t="inlineStr">
        <is>
          <t>Ensure the news section displays recent company announcements</t>
        </is>
      </c>
      <c r="K297" t="inlineStr">
        <is>
          <t>确保新闻板块展示最新的公司公告</t>
        </is>
      </c>
      <c r="L297" s="2" t="str">
        <f>=HYPERLINK("http://pre.mgx.dev/chat/8daf5e8ff48d4eb7963153cc2cca4573", "http://pre.mgx.dev/chat/8daf5e8ff48d4eb7963153cc2cca4573")</f>
        <v>http://pre.mgx.dev/chat/8daf5e8ff48d4eb7963153cc2cca4573</v>
      </c>
      <c r="M297" s="2" t="str">
        <f>=HYPERLINK("", "https://45746-8daf5e8ff48d4eb7963153cc2cca4573-3-latest.app.beta.mgx.dev")</f>
        <v>https://45746-8daf5e8ff48d4eb7963153cc2cca4573-3-latest.app.beta.mgx.dev</v>
      </c>
      <c r="N297" s="2" t="str">
        <f>=HYPERLINK("mailto:eval_36@auto.com", "eval_36@auto.com")</f>
        <v>eval_36@auto.com</v>
      </c>
      <c r="O297" t="inlineStr">
        <is>
          <t>8daf5e8ff48d4eb7963153cc2cca4573</t>
        </is>
      </c>
    </row>
    <row r="298" ht="25.5" customHeight="1">
      <c r="A298" t="inlineStr">
        <is>
          <t>Manufacturer Website</t>
        </is>
      </c>
      <c r="B298">
        <v>24</v>
      </c>
      <c r="C298" t="inlineStr">
        <is>
          <t>@杨春玉</t>
        </is>
      </c>
      <c r="D298">
        <v>1</v>
      </c>
      <c r="E298"/>
      <c r="F298" t="inlineStr">
        <is>
          <t>@陈佳杰</t>
        </is>
      </c>
      <c r="G298">
        <v>1</v>
      </c>
      <c r="H298"/>
      <c r="I298">
        <v>8</v>
      </c>
      <c r="J298" t="inlineStr">
        <is>
          <t>Verify that all interactive elements (buttons, links, forms) are functional on both desktop and mobile</t>
        </is>
      </c>
      <c r="K298" t="inlineStr">
        <is>
          <t>验证所有交互元素（按钮、链接、表单）在电脑和手机端均功能正常</t>
        </is>
      </c>
      <c r="L298" s="2" t="str">
        <f>=HYPERLINK("http://pre.mgx.dev/chat/8daf5e8ff48d4eb7963153cc2cca4573", "http://pre.mgx.dev/chat/8daf5e8ff48d4eb7963153cc2cca4573")</f>
        <v>http://pre.mgx.dev/chat/8daf5e8ff48d4eb7963153cc2cca4573</v>
      </c>
      <c r="M298" s="2" t="str">
        <f>=HYPERLINK("", "https://45746-8daf5e8ff48d4eb7963153cc2cca4573-3-latest.app.beta.mgx.dev")</f>
        <v>https://45746-8daf5e8ff48d4eb7963153cc2cca4573-3-latest.app.beta.mgx.dev</v>
      </c>
      <c r="N298" s="2" t="str">
        <f>=HYPERLINK("mailto:eval_36@auto.com", "eval_36@auto.com")</f>
        <v>eval_36@auto.com</v>
      </c>
      <c r="O298" t="inlineStr">
        <is>
          <t>8daf5e8ff48d4eb7963153cc2cca4573</t>
        </is>
      </c>
    </row>
    <row r="299" ht="25.5" customHeight="1">
      <c r="A299" t="inlineStr">
        <is>
          <t>Manufacturer Website</t>
        </is>
      </c>
      <c r="B299">
        <v>24</v>
      </c>
      <c r="C299" t="inlineStr">
        <is>
          <t>@杨春玉</t>
        </is>
      </c>
      <c r="D299">
        <v>1</v>
      </c>
      <c r="E299"/>
      <c r="F299" t="inlineStr">
        <is>
          <t>@陈佳杰</t>
        </is>
      </c>
      <c r="G299">
        <v>1</v>
      </c>
      <c r="H299"/>
      <c r="I299">
        <v>9</v>
      </c>
      <c r="J299" t="inlineStr">
        <is>
          <t>Verify that job openings are listed with relevant details</t>
        </is>
      </c>
      <c r="K299" t="inlineStr">
        <is>
          <t>验证招聘信息列表包含相关详情</t>
        </is>
      </c>
      <c r="L299" s="2" t="str">
        <f>=HYPERLINK("http://pre.mgx.dev/chat/8daf5e8ff48d4eb7963153cc2cca4573", "http://pre.mgx.dev/chat/8daf5e8ff48d4eb7963153cc2cca4573")</f>
        <v>http://pre.mgx.dev/chat/8daf5e8ff48d4eb7963153cc2cca4573</v>
      </c>
      <c r="M299" s="2" t="str">
        <f>=HYPERLINK("", "https://45746-8daf5e8ff48d4eb7963153cc2cca4573-3-latest.app.beta.mgx.dev")</f>
        <v>https://45746-8daf5e8ff48d4eb7963153cc2cca4573-3-latest.app.beta.mgx.dev</v>
      </c>
      <c r="N299" s="2" t="str">
        <f>=HYPERLINK("mailto:eval_36@auto.com", "eval_36@auto.com")</f>
        <v>eval_36@auto.com</v>
      </c>
      <c r="O299" t="inlineStr">
        <is>
          <t>8daf5e8ff48d4eb7963153cc2cca4573</t>
        </is>
      </c>
    </row>
    <row r="300" ht="25.5" customHeight="1">
      <c r="A300" t="inlineStr">
        <is>
          <t>Manufacturer Website</t>
        </is>
      </c>
      <c r="B300">
        <v>24</v>
      </c>
      <c r="C300" t="inlineStr">
        <is>
          <t>@杨春玉</t>
        </is>
      </c>
      <c r="D300">
        <v>1</v>
      </c>
      <c r="E300"/>
      <c r="F300" t="inlineStr">
        <is>
          <t>@陈佳杰</t>
        </is>
      </c>
      <c r="G300">
        <v>1</v>
      </c>
      <c r="H300"/>
      <c r="I300">
        <v>10</v>
      </c>
      <c r="J300" t="inlineStr">
        <is>
          <t>Verify that the news section is present on the homepage</t>
        </is>
      </c>
      <c r="K300" t="inlineStr">
        <is>
          <t>验证首页上存在新闻板块</t>
        </is>
      </c>
      <c r="L300" s="2" t="str">
        <f>=HYPERLINK("http://pre.mgx.dev/chat/8daf5e8ff48d4eb7963153cc2cca4573", "http://pre.mgx.dev/chat/8daf5e8ff48d4eb7963153cc2cca4573")</f>
        <v>http://pre.mgx.dev/chat/8daf5e8ff48d4eb7963153cc2cca4573</v>
      </c>
      <c r="M300" s="2" t="str">
        <f>=HYPERLINK("", "https://45746-8daf5e8ff48d4eb7963153cc2cca4573-3-latest.app.beta.mgx.dev")</f>
        <v>https://45746-8daf5e8ff48d4eb7963153cc2cca4573-3-latest.app.beta.mgx.dev</v>
      </c>
      <c r="N300" s="2" t="str">
        <f>=HYPERLINK("mailto:eval_36@auto.com", "eval_36@auto.com")</f>
        <v>eval_36@auto.com</v>
      </c>
      <c r="O300" t="inlineStr">
        <is>
          <t>8daf5e8ff48d4eb7963153cc2cca4573</t>
        </is>
      </c>
    </row>
    <row r="301" ht="25.5" customHeight="1">
      <c r="A301" t="inlineStr">
        <is>
          <t>Markdown Note Editor with Local Storage</t>
        </is>
      </c>
      <c r="B301">
        <v>25</v>
      </c>
      <c r="C301" t="inlineStr">
        <is>
          <t>@杨春玉</t>
        </is>
      </c>
      <c r="D301">
        <v>1</v>
      </c>
      <c r="E301"/>
      <c r="F301" t="inlineStr">
        <is>
          <t>@陈佳杰</t>
        </is>
      </c>
      <c r="G301">
        <v>1</v>
      </c>
      <c r="H301"/>
      <c r="I301">
        <v>1</v>
      </c>
      <c r="J301" t="inlineStr">
        <is>
          <t>Test if Markdown syntax for bold (**) and italic (*) text renders correctly</t>
        </is>
      </c>
      <c r="K301" t="inlineStr">
        <is>
          <t>测试Markdown粗体（**）和斜体（*）语法渲染是否正常</t>
        </is>
      </c>
      <c r="L301" s="2" t="str">
        <f>=HYPERLINK("http://pre.mgx.dev/chat/97344f284a9b4e34adb64a66f647f452", "http://pre.mgx.dev/chat/97344f284a9b4e34adb64a66f647f452")</f>
        <v>http://pre.mgx.dev/chat/97344f284a9b4e34adb64a66f647f452</v>
      </c>
      <c r="M301" s="2" t="str">
        <f>=HYPERLINK("", "https://45800-97344f284a9b4e34adb64a66f647f452-3-latest.app.beta.mgx.dev")</f>
        <v>https://45800-97344f284a9b4e34adb64a66f647f452-3-latest.app.beta.mgx.dev</v>
      </c>
      <c r="N301" s="2" t="str">
        <f>=HYPERLINK("mailto:eval_90@auto.com", "eval_90@auto.com")</f>
        <v>eval_90@auto.com</v>
      </c>
      <c r="O301" t="inlineStr">
        <is>
          <t>97344f284a9b4e34adb64a66f647f452</t>
        </is>
      </c>
    </row>
    <row r="302" ht="25.5" customHeight="1">
      <c r="A302" t="inlineStr">
        <is>
          <t>Markdown Note Editor with Local Storage</t>
        </is>
      </c>
      <c r="B302">
        <v>25</v>
      </c>
      <c r="C302" t="inlineStr">
        <is>
          <t>@杨春玉</t>
        </is>
      </c>
      <c r="D302">
        <v>1</v>
      </c>
      <c r="E302"/>
      <c r="F302" t="inlineStr">
        <is>
          <t>@陈佳杰</t>
        </is>
      </c>
      <c r="G302">
        <v>1</v>
      </c>
      <c r="H302"/>
      <c r="I302">
        <v>2</v>
      </c>
      <c r="J302" t="inlineStr">
        <is>
          <t>Test if Markdown syntax for code blocks (```) renders correctly</t>
        </is>
      </c>
      <c r="K302" t="inlineStr">
        <is>
          <t>测试Markdown代码块（```）语法渲染是否正常</t>
        </is>
      </c>
      <c r="L302" s="2" t="str">
        <f>=HYPERLINK("http://pre.mgx.dev/chat/97344f284a9b4e34adb64a66f647f452", "http://pre.mgx.dev/chat/97344f284a9b4e34adb64a66f647f452")</f>
        <v>http://pre.mgx.dev/chat/97344f284a9b4e34adb64a66f647f452</v>
      </c>
      <c r="M302" s="2" t="str">
        <f>=HYPERLINK("https://45800-97344f284a9b4e34adb64a66f647f452-3-latest.app.beta.mgx.dev", "https://45800-97344f284a9b4e34adb64a66f647f452-3-latest.app.beta.mgx.dev")</f>
        <v>https://45800-97344f284a9b4e34adb64a66f647f452-3-latest.app.beta.mgx.dev</v>
      </c>
      <c r="N302" s="2" t="str">
        <f>=HYPERLINK("mailto:eval_90@auto.com", "eval_90@auto.com")</f>
        <v>eval_90@auto.com</v>
      </c>
      <c r="O302" t="inlineStr">
        <is>
          <t>97344f284a9b4e34adb64a66f647f452</t>
        </is>
      </c>
    </row>
    <row r="303" ht="25.5" customHeight="1">
      <c r="A303" t="inlineStr">
        <is>
          <t>Markdown Note Editor with Local Storage</t>
        </is>
      </c>
      <c r="B303">
        <v>25</v>
      </c>
      <c r="C303" t="inlineStr">
        <is>
          <t>@杨春玉</t>
        </is>
      </c>
      <c r="D303">
        <v>1</v>
      </c>
      <c r="E303"/>
      <c r="F303" t="inlineStr">
        <is>
          <t>@陈佳杰</t>
        </is>
      </c>
      <c r="G303">
        <v>1</v>
      </c>
      <c r="H303"/>
      <c r="I303">
        <v>3</v>
      </c>
      <c r="J303" t="inlineStr">
        <is>
          <t>Test if Markdown syntax for headers (# ## ###) renders correctly in preview</t>
        </is>
      </c>
      <c r="K303" t="inlineStr">
        <is>
          <t>测试Markdown标题（# ## ###）语法在预览中渲染是否正常</t>
        </is>
      </c>
      <c r="L303" s="2" t="str">
        <f>=HYPERLINK("http://pre.mgx.dev/chat/97344f284a9b4e34adb64a66f647f452", "http://pre.mgx.dev/chat/97344f284a9b4e34adb64a66f647f452")</f>
        <v>http://pre.mgx.dev/chat/97344f284a9b4e34adb64a66f647f452</v>
      </c>
      <c r="M303" s="2" t="str">
        <f>=HYPERLINK("", "https://45800-97344f284a9b4e34adb64a66f647f452-3-latest.app.beta.mgx.dev")</f>
        <v>https://45800-97344f284a9b4e34adb64a66f647f452-3-latest.app.beta.mgx.dev</v>
      </c>
      <c r="N303" s="2" t="str">
        <f>=HYPERLINK("mailto:eval_90@auto.com", "eval_90@auto.com")</f>
        <v>eval_90@auto.com</v>
      </c>
      <c r="O303" t="inlineStr">
        <is>
          <t>97344f284a9b4e34adb64a66f647f452</t>
        </is>
      </c>
    </row>
    <row r="304" ht="25.5" customHeight="1">
      <c r="A304" t="inlineStr">
        <is>
          <t>Markdown Note Editor with Local Storage</t>
        </is>
      </c>
      <c r="B304">
        <v>25</v>
      </c>
      <c r="C304" t="inlineStr">
        <is>
          <t>@杨春玉</t>
        </is>
      </c>
      <c r="D304">
        <v>1</v>
      </c>
      <c r="E304"/>
      <c r="F304" t="inlineStr">
        <is>
          <t>@陈佳杰</t>
        </is>
      </c>
      <c r="G304">
        <v>1</v>
      </c>
      <c r="H304"/>
      <c r="I304">
        <v>4</v>
      </c>
      <c r="J304" t="inlineStr">
        <is>
          <t>Test if Markdown syntax for links [text](url) renders correctly in preview</t>
        </is>
      </c>
      <c r="K304" t="inlineStr">
        <is>
          <t>测试Markdown链接[文本](网址)语法在预览中渲染是否正常</t>
        </is>
      </c>
      <c r="L304" s="2" t="str">
        <f>=HYPERLINK("http://pre.mgx.dev/chat/97344f284a9b4e34adb64a66f647f452", "http://pre.mgx.dev/chat/97344f284a9b4e34adb64a66f647f452")</f>
        <v>http://pre.mgx.dev/chat/97344f284a9b4e34adb64a66f647f452</v>
      </c>
      <c r="M304" s="2" t="str">
        <f>=HYPERLINK("", "https://45800-97344f284a9b4e34adb64a66f647f452-3-latest.app.beta.mgx.dev")</f>
        <v>https://45800-97344f284a9b4e34adb64a66f647f452-3-latest.app.beta.mgx.dev</v>
      </c>
      <c r="N304" s="2" t="str">
        <f>=HYPERLINK("mailto:eval_90@auto.com", "eval_90@auto.com")</f>
        <v>eval_90@auto.com</v>
      </c>
      <c r="O304" t="inlineStr">
        <is>
          <t>97344f284a9b4e34adb64a66f647f452</t>
        </is>
      </c>
    </row>
    <row r="305" ht="25.5" customHeight="1">
      <c r="A305" t="inlineStr">
        <is>
          <t>Markdown Note Editor with Local Storage</t>
        </is>
      </c>
      <c r="B305">
        <v>25</v>
      </c>
      <c r="C305" t="inlineStr">
        <is>
          <t>@杨春玉</t>
        </is>
      </c>
      <c r="D305">
        <v>1</v>
      </c>
      <c r="E305"/>
      <c r="F305" t="inlineStr">
        <is>
          <t>@陈佳杰</t>
        </is>
      </c>
      <c r="G305">
        <v>1</v>
      </c>
      <c r="H305"/>
      <c r="I305">
        <v>5</v>
      </c>
      <c r="J305" t="inlineStr">
        <is>
          <t>Test if Markdown syntax for lists (- * +) renders correctly in preview</t>
        </is>
      </c>
      <c r="K305" t="inlineStr">
        <is>
          <t>测试Markdown列表（- * +）语法在预览中渲染是否正常</t>
        </is>
      </c>
      <c r="L305" s="2" t="str">
        <f>=HYPERLINK("http://pre.mgx.dev/chat/97344f284a9b4e34adb64a66f647f452", "http://pre.mgx.dev/chat/97344f284a9b4e34adb64a66f647f452")</f>
        <v>http://pre.mgx.dev/chat/97344f284a9b4e34adb64a66f647f452</v>
      </c>
      <c r="M305" s="2" t="str">
        <f>=HYPERLINK("", "https://45800-97344f284a9b4e34adb64a66f647f452-3-latest.app.beta.mgx.dev")</f>
        <v>https://45800-97344f284a9b4e34adb64a66f647f452-3-latest.app.beta.mgx.dev</v>
      </c>
      <c r="N305" s="2" t="str">
        <f>=HYPERLINK("mailto:eval_90@auto.com", "eval_90@auto.com")</f>
        <v>eval_90@auto.com</v>
      </c>
      <c r="O305" t="inlineStr">
        <is>
          <t>97344f284a9b4e34adb64a66f647f452</t>
        </is>
      </c>
    </row>
    <row r="306" ht="25.5" customHeight="1">
      <c r="A306" t="inlineStr">
        <is>
          <t>Markdown Note Editor with Local Storage</t>
        </is>
      </c>
      <c r="B306">
        <v>25</v>
      </c>
      <c r="C306" t="inlineStr">
        <is>
          <t>@杨春玉</t>
        </is>
      </c>
      <c r="D306">
        <v>1</v>
      </c>
      <c r="E306"/>
      <c r="F306" t="inlineStr">
        <is>
          <t>@陈佳杰</t>
        </is>
      </c>
      <c r="G306">
        <v>1</v>
      </c>
      <c r="H306"/>
      <c r="I306">
        <v>6</v>
      </c>
      <c r="J306" t="inlineStr">
        <is>
          <t>Test if content remains saved when browser is closed and reopened</t>
        </is>
      </c>
      <c r="K306" t="inlineStr">
        <is>
          <t>测试关闭并重新打开浏览器后内容是否保留</t>
        </is>
      </c>
      <c r="L306" s="2" t="str">
        <f>=HYPERLINK("http://pre.mgx.dev/chat/97344f284a9b4e34adb64a66f647f452", "http://pre.mgx.dev/chat/97344f284a9b4e34adb64a66f647f452")</f>
        <v>http://pre.mgx.dev/chat/97344f284a9b4e34adb64a66f647f452</v>
      </c>
      <c r="M306" s="2" t="str">
        <f>=HYPERLINK("", "https://45800-97344f284a9b4e34adb64a66f647f452-3-latest.app.beta.mgx.dev")</f>
        <v>https://45800-97344f284a9b4e34adb64a66f647f452-3-latest.app.beta.mgx.dev</v>
      </c>
      <c r="N306" s="2" t="str">
        <f>=HYPERLINK("mailto:eval_90@auto.com", "eval_90@auto.com")</f>
        <v>eval_90@auto.com</v>
      </c>
      <c r="O306" t="inlineStr">
        <is>
          <t>97344f284a9b4e34adb64a66f647f452</t>
        </is>
      </c>
    </row>
    <row r="307" ht="25.5" customHeight="1">
      <c r="A307" t="inlineStr">
        <is>
          <t>Markdown Note Editor with Local Storage</t>
        </is>
      </c>
      <c r="B307">
        <v>25</v>
      </c>
      <c r="C307" t="inlineStr">
        <is>
          <t>@杨春玉</t>
        </is>
      </c>
      <c r="D307">
        <v>1</v>
      </c>
      <c r="E307"/>
      <c r="F307" t="inlineStr">
        <is>
          <t>@陈佳杰</t>
        </is>
      </c>
      <c r="G307">
        <v>1</v>
      </c>
      <c r="H307"/>
      <c r="I307">
        <v>7</v>
      </c>
      <c r="J307" t="inlineStr">
        <is>
          <t>Test if local storage saves the content when text is entered</t>
        </is>
      </c>
      <c r="K307" t="inlineStr">
        <is>
          <t>测试输入文本时本地存储是否保存内容</t>
        </is>
      </c>
      <c r="L307" s="2" t="str">
        <f>=HYPERLINK("http://pre.mgx.dev/chat/97344f284a9b4e34adb64a66f647f452", "http://pre.mgx.dev/chat/97344f284a9b4e34adb64a66f647f452")</f>
        <v>http://pre.mgx.dev/chat/97344f284a9b4e34adb64a66f647f452</v>
      </c>
      <c r="M307" s="2" t="str">
        <f>=HYPERLINK("", "https://45800-97344f284a9b4e34adb64a66f647f452-3-latest.app.beta.mgx.dev")</f>
        <v>https://45800-97344f284a9b4e34adb64a66f647f452-3-latest.app.beta.mgx.dev</v>
      </c>
      <c r="N307" s="2" t="str">
        <f>=HYPERLINK("mailto:eval_90@auto.com", "eval_90@auto.com")</f>
        <v>eval_90@auto.com</v>
      </c>
      <c r="O307" t="inlineStr">
        <is>
          <t>97344f284a9b4e34adb64a66f647f452</t>
        </is>
      </c>
    </row>
    <row r="308" ht="25.5" customHeight="1">
      <c r="A308" t="inlineStr">
        <is>
          <t>Markdown Note Editor with Local Storage</t>
        </is>
      </c>
      <c r="B308">
        <v>25</v>
      </c>
      <c r="C308" t="inlineStr">
        <is>
          <t>@杨春玉</t>
        </is>
      </c>
      <c r="D308">
        <v>1</v>
      </c>
      <c r="E308"/>
      <c r="F308" t="inlineStr">
        <is>
          <t>@陈佳杰</t>
        </is>
      </c>
      <c r="G308">
        <v>1</v>
      </c>
      <c r="H308"/>
      <c r="I308">
        <v>8</v>
      </c>
      <c r="J308" t="inlineStr">
        <is>
          <t>Test if special characters are properly saved and rendered</t>
        </is>
      </c>
      <c r="K308" t="inlineStr">
        <is>
          <t>测试特殊字符是否正确保存并渲染</t>
        </is>
      </c>
      <c r="L308" s="2" t="str">
        <f>=HYPERLINK("http://pre.mgx.dev/chat/97344f284a9b4e34adb64a66f647f452", "http://pre.mgx.dev/chat/97344f284a9b4e34adb64a66f647f452")</f>
        <v>http://pre.mgx.dev/chat/97344f284a9b4e34adb64a66f647f452</v>
      </c>
      <c r="M308" s="2" t="str">
        <f>=HYPERLINK("", "https://45800-97344f284a9b4e34adb64a66f647f452-3-latest.app.beta.mgx.dev")</f>
        <v>https://45800-97344f284a9b4e34adb64a66f647f452-3-latest.app.beta.mgx.dev</v>
      </c>
      <c r="N308" s="2" t="str">
        <f>=HYPERLINK("mailto:eval_90@auto.com", "eval_90@auto.com")</f>
        <v>eval_90@auto.com</v>
      </c>
      <c r="O308" t="inlineStr">
        <is>
          <t>97344f284a9b4e34adb64a66f647f452</t>
        </is>
      </c>
    </row>
    <row r="309" ht="25.5" customHeight="1">
      <c r="A309" t="inlineStr">
        <is>
          <t>Markdown Note Editor with Local Storage</t>
        </is>
      </c>
      <c r="B309">
        <v>25</v>
      </c>
      <c r="C309" t="inlineStr">
        <is>
          <t>@杨春玉</t>
        </is>
      </c>
      <c r="D309">
        <v>1</v>
      </c>
      <c r="E309"/>
      <c r="F309" t="inlineStr">
        <is>
          <t>@陈佳杰</t>
        </is>
      </c>
      <c r="G309">
        <v>1</v>
      </c>
      <c r="H309"/>
      <c r="I309">
        <v>9</v>
      </c>
      <c r="J309" t="inlineStr">
        <is>
          <t>Test if the Markdown editor text input area is present and accepts user input</t>
        </is>
      </c>
      <c r="K309" t="inlineStr">
        <is>
          <t>测试Markdown编辑器的文本输入框存在且可接收用户输入</t>
        </is>
      </c>
      <c r="L309" s="2" t="str">
        <f>=HYPERLINK("http://pre.mgx.dev/chat/97344f284a9b4e34adb64a66f647f452", "http://pre.mgx.dev/chat/97344f284a9b4e34adb64a66f647f452")</f>
        <v>http://pre.mgx.dev/chat/97344f284a9b4e34adb64a66f647f452</v>
      </c>
      <c r="M309" s="2" t="str">
        <f>=HYPERLINK("", "https://45800-97344f284a9b4e34adb64a66f647f452-3-latest.app.beta.mgx.dev")</f>
        <v>https://45800-97344f284a9b4e34adb64a66f647f452-3-latest.app.beta.mgx.dev</v>
      </c>
      <c r="N309" s="2" t="str">
        <f>=HYPERLINK("mailto:eval_90@auto.com", "eval_90@auto.com")</f>
        <v>eval_90@auto.com</v>
      </c>
      <c r="O309" t="inlineStr">
        <is>
          <t>97344f284a9b4e34adb64a66f647f452</t>
        </is>
      </c>
    </row>
    <row r="310" ht="25.5" customHeight="1">
      <c r="A310" t="inlineStr">
        <is>
          <t>Markdown Note Editor with Local Storage</t>
        </is>
      </c>
      <c r="B310">
        <v>25</v>
      </c>
      <c r="C310" t="inlineStr">
        <is>
          <t>@杨春玉</t>
        </is>
      </c>
      <c r="D310">
        <v>1</v>
      </c>
      <c r="E310"/>
      <c r="F310" t="inlineStr">
        <is>
          <t>@陈佳杰</t>
        </is>
      </c>
      <c r="G310">
        <v>1</v>
      </c>
      <c r="H310"/>
      <c r="I310">
        <v>10</v>
      </c>
      <c r="J310" t="inlineStr">
        <is>
          <t>Verify that content persists after page refresh</t>
        </is>
      </c>
      <c r="K310" t="inlineStr">
        <is>
          <t>验证页面刷新后内容仍保留</t>
        </is>
      </c>
      <c r="L310" s="2" t="str">
        <f>=HYPERLINK("http://pre.mgx.dev/chat/97344f284a9b4e34adb64a66f647f452", "http://pre.mgx.dev/chat/97344f284a9b4e34adb64a66f647f452")</f>
        <v>http://pre.mgx.dev/chat/97344f284a9b4e34adb64a66f647f452</v>
      </c>
      <c r="M310" s="2" t="str">
        <f>=HYPERLINK("", "https://45800-97344f284a9b4e34adb64a66f647f452-3-latest.app.beta.mgx.dev")</f>
        <v>https://45800-97344f284a9b4e34adb64a66f647f452-3-latest.app.beta.mgx.dev</v>
      </c>
      <c r="N310" s="2" t="str">
        <f>=HYPERLINK("mailto:eval_90@auto.com", "eval_90@auto.com")</f>
        <v>eval_90@auto.com</v>
      </c>
      <c r="O310" t="inlineStr">
        <is>
          <t>97344f284a9b4e34adb64a66f647f452</t>
        </is>
      </c>
    </row>
    <row r="311" ht="25.5" customHeight="1">
      <c r="A311" t="inlineStr">
        <is>
          <t>Markdown Note Editor with Local Storage</t>
        </is>
      </c>
      <c r="B311">
        <v>25</v>
      </c>
      <c r="C311" t="inlineStr">
        <is>
          <t>@杨春玉</t>
        </is>
      </c>
      <c r="D311">
        <v>1</v>
      </c>
      <c r="E311"/>
      <c r="F311" t="inlineStr">
        <is>
          <t>@陈佳杰</t>
        </is>
      </c>
      <c r="G311">
        <v>1</v>
      </c>
      <c r="H311"/>
      <c r="I311">
        <v>11</v>
      </c>
      <c r="J311" t="inlineStr">
        <is>
          <t>Verify that empty content is handled properly without errors</t>
        </is>
      </c>
      <c r="K311" t="inlineStr">
        <is>
          <t>验证空内容被正常处理且无报错</t>
        </is>
      </c>
      <c r="L311" s="2" t="str">
        <f>=HYPERLINK("http://pre.mgx.dev/chat/97344f284a9b4e34adb64a66f647f452", "http://pre.mgx.dev/chat/97344f284a9b4e34adb64a66f647f452")</f>
        <v>http://pre.mgx.dev/chat/97344f284a9b4e34adb64a66f647f452</v>
      </c>
      <c r="M311" s="2" t="str">
        <f>=HYPERLINK("", "https://45800-97344f284a9b4e34adb64a66f647f452-3-latest.app.beta.mgx.dev")</f>
        <v>https://45800-97344f284a9b4e34adb64a66f647f452-3-latest.app.beta.mgx.dev</v>
      </c>
      <c r="N311" s="2" t="str">
        <f>=HYPERLINK("mailto:eval_90@auto.com", "eval_90@auto.com")</f>
        <v>eval_90@auto.com</v>
      </c>
      <c r="O311" t="inlineStr">
        <is>
          <t>97344f284a9b4e34adb64a66f647f452</t>
        </is>
      </c>
    </row>
    <row r="312" ht="25.5" customHeight="1">
      <c r="A312" t="inlineStr">
        <is>
          <t>Markdown Note Editor with Local Storage</t>
        </is>
      </c>
      <c r="B312">
        <v>25</v>
      </c>
      <c r="C312" t="inlineStr">
        <is>
          <t>@杨春玉</t>
        </is>
      </c>
      <c r="D312">
        <v>1</v>
      </c>
      <c r="E312"/>
      <c r="F312" t="inlineStr">
        <is>
          <t>@陈佳杰</t>
        </is>
      </c>
      <c r="G312">
        <v>1</v>
      </c>
      <c r="H312"/>
      <c r="I312">
        <v>12</v>
      </c>
      <c r="J312" t="inlineStr">
        <is>
          <t>Verify that multiple notes can be stored and retrieved from local storage</t>
        </is>
      </c>
      <c r="K312" t="inlineStr">
        <is>
          <t>验证本地存储可保存并调取多条笔记</t>
        </is>
      </c>
      <c r="L312" s="2" t="str">
        <f>=HYPERLINK("http://pre.mgx.dev/chat/97344f284a9b4e34adb64a66f647f452", "http://pre.mgx.dev/chat/97344f284a9b4e34adb64a66f647f452")</f>
        <v>http://pre.mgx.dev/chat/97344f284a9b4e34adb64a66f647f452</v>
      </c>
      <c r="M312" s="2" t="str">
        <f>=HYPERLINK("", "https://45800-97344f284a9b4e34adb64a66f647f452-3-latest.app.beta.mgx.dev")</f>
        <v>https://45800-97344f284a9b4e34adb64a66f647f452-3-latest.app.beta.mgx.dev</v>
      </c>
      <c r="N312" s="2" t="str">
        <f>=HYPERLINK("mailto:eval_90@auto.com", "eval_90@auto.com")</f>
        <v>eval_90@auto.com</v>
      </c>
      <c r="O312" t="inlineStr">
        <is>
          <t>97344f284a9b4e34adb64a66f647f452</t>
        </is>
      </c>
    </row>
    <row r="313" ht="25.5" customHeight="1">
      <c r="A313" t="inlineStr">
        <is>
          <t>Markdown Note Editor with Local Storage</t>
        </is>
      </c>
      <c r="B313">
        <v>25</v>
      </c>
      <c r="C313" t="inlineStr">
        <is>
          <t>@杨春玉</t>
        </is>
      </c>
      <c r="D313">
        <v>1</v>
      </c>
      <c r="E313"/>
      <c r="F313" t="inlineStr">
        <is>
          <t>@陈佳杰</t>
        </is>
      </c>
      <c r="G313">
        <v>1</v>
      </c>
      <c r="H313"/>
      <c r="I313">
        <v>13</v>
      </c>
      <c r="J313" t="inlineStr">
        <is>
          <t>Verify that typed content is immediately displayed in the editor area</t>
        </is>
      </c>
      <c r="K313" t="inlineStr">
        <is>
          <t>验证输入的内容即时显示在编辑器区域</t>
        </is>
      </c>
      <c r="L313" s="2" t="str">
        <f>=HYPERLINK("http://pre.mgx.dev/chat/97344f284a9b4e34adb64a66f647f452", "http://pre.mgx.dev/chat/97344f284a9b4e34adb64a66f647f452")</f>
        <v>http://pre.mgx.dev/chat/97344f284a9b4e34adb64a66f647f452</v>
      </c>
      <c r="M313" s="2" t="str">
        <f>=HYPERLINK("", "https://45800-97344f284a9b4e34adb64a66f647f452-3-latest.app.beta.mgx.dev")</f>
        <v>https://45800-97344f284a9b4e34adb64a66f647f452-3-latest.app.beta.mgx.dev</v>
      </c>
      <c r="N313" s="2" t="str">
        <f>=HYPERLINK("mailto:eval_90@auto.com", "eval_90@auto.com")</f>
        <v>eval_90@auto.com</v>
      </c>
      <c r="O313" t="inlineStr">
        <is>
          <t>97344f284a9b4e34adb64a66f647f452</t>
        </is>
      </c>
    </row>
    <row r="314" ht="25.5" customHeight="1">
      <c r="A314" t="inlineStr">
        <is>
          <t>Math Game</t>
        </is>
      </c>
      <c r="B314">
        <v>26</v>
      </c>
      <c r="C314" t="inlineStr">
        <is>
          <t>@杨春玉</t>
        </is>
      </c>
      <c r="D314">
        <v>1</v>
      </c>
      <c r="E314"/>
      <c r="F314" t="inlineStr">
        <is>
          <t>@陈佳杰</t>
        </is>
      </c>
      <c r="G314">
        <v>1</v>
      </c>
      <c r="H314"/>
      <c r="I314">
        <v>1</v>
      </c>
      <c r="J314" t="inlineStr">
        <is>
          <t>Check if the current score is displayed and updated in real-time</t>
        </is>
      </c>
      <c r="K314" t="inlineStr">
        <is>
          <t>检查当前分数是否展示并实时更新</t>
        </is>
      </c>
      <c r="L314" s="2" t="str">
        <f>=HYPERLINK("http://pre.mgx.dev/chat/9fd7fee449204daca993e9041d9a6752", "http://pre.mgx.dev/chat/9fd7fee449204daca993e9041d9a6752")</f>
        <v>http://pre.mgx.dev/chat/9fd7fee449204daca993e9041d9a6752</v>
      </c>
      <c r="M314" s="2" t="str">
        <f>=HYPERLINK("", "https://45771-9fd7fee449204daca993e9041d9a6752-3-latest.app.beta.mgx.dev")</f>
        <v>https://45771-9fd7fee449204daca993e9041d9a6752-3-latest.app.beta.mgx.dev</v>
      </c>
      <c r="N314" s="2" t="str">
        <f>=HYPERLINK("mailto:eval_61@auto.com", "eval_61@auto.com")</f>
        <v>eval_61@auto.com</v>
      </c>
      <c r="O314" t="inlineStr">
        <is>
          <t>9fd7fee449204daca993e9041d9a6752</t>
        </is>
      </c>
    </row>
    <row r="315" ht="25.5" customHeight="1">
      <c r="A315" t="inlineStr">
        <is>
          <t>Math Game</t>
        </is>
      </c>
      <c r="B315">
        <v>26</v>
      </c>
      <c r="C315" t="inlineStr">
        <is>
          <t>@杨春玉</t>
        </is>
      </c>
      <c r="D315">
        <v>1</v>
      </c>
      <c r="E315"/>
      <c r="F315" t="inlineStr">
        <is>
          <t>@陈佳杰</t>
        </is>
      </c>
      <c r="G315">
        <v>1</v>
      </c>
      <c r="H315"/>
      <c r="I315">
        <v>2</v>
      </c>
      <c r="J315" t="inlineStr">
        <is>
          <t>Check if the input box for answers is present</t>
        </is>
      </c>
      <c r="K315" t="inlineStr">
        <is>
          <t>检查是否存在答案输入框</t>
        </is>
      </c>
      <c r="L315" s="2" t="str">
        <f>=HYPERLINK("http://pre.mgx.dev/chat/9fd7fee449204daca993e9041d9a6752", "http://pre.mgx.dev/chat/9fd7fee449204daca993e9041d9a6752")</f>
        <v>http://pre.mgx.dev/chat/9fd7fee449204daca993e9041d9a6752</v>
      </c>
      <c r="M315" s="2" t="str">
        <f>=HYPERLINK("", "https://45771-9fd7fee449204daca993e9041d9a6752-3-latest.app.beta.mgx.dev")</f>
        <v>https://45771-9fd7fee449204daca993e9041d9a6752-3-latest.app.beta.mgx.dev</v>
      </c>
      <c r="N315" s="2" t="str">
        <f>=HYPERLINK("mailto:eval_61@auto.com", "eval_61@auto.com")</f>
        <v>eval_61@auto.com</v>
      </c>
      <c r="O315" t="inlineStr">
        <is>
          <t>9fd7fee449204daca993e9041d9a6752</t>
        </is>
      </c>
    </row>
    <row r="316" ht="25.5" customHeight="1">
      <c r="A316" t="inlineStr">
        <is>
          <t>Math Game</t>
        </is>
      </c>
      <c r="B316">
        <v>26</v>
      </c>
      <c r="C316" t="inlineStr">
        <is>
          <t>@杨春玉</t>
        </is>
      </c>
      <c r="D316">
        <v>1</v>
      </c>
      <c r="E316"/>
      <c r="F316" t="inlineStr">
        <is>
          <t>@陈佳杰</t>
        </is>
      </c>
      <c r="G316">
        <v>1</v>
      </c>
      <c r="H316"/>
      <c r="I316">
        <v>3</v>
      </c>
      <c r="J316" t="inlineStr">
        <is>
          <t>Check if the total score is displayed at the end of the game</t>
        </is>
      </c>
      <c r="K316" t="inlineStr">
        <is>
          <t>检查游戏结束后是否展示总分数</t>
        </is>
      </c>
      <c r="L316" s="2" t="str">
        <f>=HYPERLINK("http://pre.mgx.dev/chat/9fd7fee449204daca993e9041d9a6752", "http://pre.mgx.dev/chat/9fd7fee449204daca993e9041d9a6752")</f>
        <v>http://pre.mgx.dev/chat/9fd7fee449204daca993e9041d9a6752</v>
      </c>
      <c r="M316" s="2" t="str">
        <f>=HYPERLINK("", "https://45771-9fd7fee449204daca993e9041d9a6752-3-latest.app.beta.mgx.dev")</f>
        <v>https://45771-9fd7fee449204daca993e9041d9a6752-3-latest.app.beta.mgx.dev</v>
      </c>
      <c r="N316" s="2" t="str">
        <f>=HYPERLINK("mailto:eval_61@auto.com", "eval_61@auto.com")</f>
        <v>eval_61@auto.com</v>
      </c>
      <c r="O316" t="inlineStr">
        <is>
          <t>9fd7fee449204daca993e9041d9a6752</t>
        </is>
      </c>
    </row>
    <row r="317" ht="25.5" customHeight="1">
      <c r="A317" t="inlineStr">
        <is>
          <t>Math Game</t>
        </is>
      </c>
      <c r="B317">
        <v>26</v>
      </c>
      <c r="C317" t="inlineStr">
        <is>
          <t>@杨春玉</t>
        </is>
      </c>
      <c r="D317">
        <v>1</v>
      </c>
      <c r="E317"/>
      <c r="F317" t="inlineStr">
        <is>
          <t>@陈佳杰</t>
        </is>
      </c>
      <c r="G317">
        <v>1</v>
      </c>
      <c r="H317"/>
      <c r="I317">
        <v>4</v>
      </c>
      <c r="J317" t="inlineStr">
        <is>
          <t>Test entering a correct answer and verify it's judged correctly</t>
        </is>
      </c>
      <c r="K317" t="inlineStr">
        <is>
          <t>测试输入正确答案并验证判定结果正确</t>
        </is>
      </c>
      <c r="L317" s="2" t="str">
        <f>=HYPERLINK("http://pre.mgx.dev/chat/9fd7fee449204daca993e9041d9a6752", "http://pre.mgx.dev/chat/9fd7fee449204daca993e9041d9a6752")</f>
        <v>http://pre.mgx.dev/chat/9fd7fee449204daca993e9041d9a6752</v>
      </c>
      <c r="M317" s="2" t="str">
        <f>=HYPERLINK("", "https://45771-9fd7fee449204daca993e9041d9a6752-3-latest.app.beta.mgx.dev")</f>
        <v>https://45771-9fd7fee449204daca993e9041d9a6752-3-latest.app.beta.mgx.dev</v>
      </c>
      <c r="N317" s="2" t="str">
        <f>=HYPERLINK("mailto:eval_61@auto.com", "eval_61@auto.com")</f>
        <v>eval_61@auto.com</v>
      </c>
      <c r="O317" t="inlineStr">
        <is>
          <t>9fd7fee449204daca993e9041d9a6752</t>
        </is>
      </c>
    </row>
    <row r="318" ht="25.5" customHeight="1">
      <c r="A318" t="inlineStr">
        <is>
          <t>Math Game</t>
        </is>
      </c>
      <c r="B318">
        <v>26</v>
      </c>
      <c r="C318" t="inlineStr">
        <is>
          <t>@杨春玉</t>
        </is>
      </c>
      <c r="D318">
        <v>1</v>
      </c>
      <c r="E318"/>
      <c r="F318" t="inlineStr">
        <is>
          <t>@陈佳杰</t>
        </is>
      </c>
      <c r="G318">
        <v>1</v>
      </c>
      <c r="H318"/>
      <c r="I318">
        <v>5</v>
      </c>
      <c r="J318" t="inlineStr">
        <is>
          <t>Test entering an incorrect answer and verify it's judged correctly</t>
        </is>
      </c>
      <c r="K318" t="inlineStr">
        <is>
          <t>测试输入错误答案并验证判定结果正确</t>
        </is>
      </c>
      <c r="L318" s="2" t="str">
        <f>=HYPERLINK("http://pre.mgx.dev/chat/9fd7fee449204daca993e9041d9a6752", "http://pre.mgx.dev/chat/9fd7fee449204daca993e9041d9a6752")</f>
        <v>http://pre.mgx.dev/chat/9fd7fee449204daca993e9041d9a6752</v>
      </c>
      <c r="M318" s="2" t="str">
        <f>=HYPERLINK("", "https://45771-9fd7fee449204daca993e9041d9a6752-3-latest.app.beta.mgx.dev")</f>
        <v>https://45771-9fd7fee449204daca993e9041d9a6752-3-latest.app.beta.mgx.dev</v>
      </c>
      <c r="N318" s="2" t="str">
        <f>=HYPERLINK("mailto:eval_61@auto.com", "eval_61@auto.com")</f>
        <v>eval_61@auto.com</v>
      </c>
      <c r="O318" t="inlineStr">
        <is>
          <t>9fd7fee449204daca993e9041d9a6752</t>
        </is>
      </c>
    </row>
    <row r="319" ht="25.5" customHeight="1">
      <c r="A319" t="inlineStr">
        <is>
          <t>Math Game</t>
        </is>
      </c>
      <c r="B319">
        <v>26</v>
      </c>
      <c r="C319" t="inlineStr">
        <is>
          <t>@杨春玉</t>
        </is>
      </c>
      <c r="D319">
        <v>1</v>
      </c>
      <c r="E319"/>
      <c r="F319" t="inlineStr">
        <is>
          <t>@陈佳杰</t>
        </is>
      </c>
      <c r="G319">
        <v>1</v>
      </c>
      <c r="H319"/>
      <c r="I319">
        <v>6</v>
      </c>
      <c r="J319" t="inlineStr">
        <is>
          <t>Test if different difficulty levels are available for selection</t>
        </is>
      </c>
      <c r="K319" t="inlineStr">
        <is>
          <t>测试是否提供不同难度等级选择</t>
        </is>
      </c>
      <c r="L319" s="2" t="str">
        <f>=HYPERLINK("http://pre.mgx.dev/chat/9fd7fee449204daca993e9041d9a6752", "http://pre.mgx.dev/chat/9fd7fee449204daca993e9041d9a6752")</f>
        <v>http://pre.mgx.dev/chat/9fd7fee449204daca993e9041d9a6752</v>
      </c>
      <c r="M319" s="2" t="str">
        <f>=HYPERLINK("", "https://45771-9fd7fee449204daca993e9041d9a6752-3-latest.app.beta.mgx.dev")</f>
        <v>https://45771-9fd7fee449204daca993e9041d9a6752-3-latest.app.beta.mgx.dev</v>
      </c>
      <c r="N319" s="2" t="str">
        <f>=HYPERLINK("mailto:eval_61@auto.com", "eval_61@auto.com")</f>
        <v>eval_61@auto.com</v>
      </c>
      <c r="O319" t="inlineStr">
        <is>
          <t>9fd7fee449204daca993e9041d9a6752</t>
        </is>
      </c>
    </row>
    <row r="320" ht="25.5" customHeight="1">
      <c r="A320" t="inlineStr">
        <is>
          <t>Math Game</t>
        </is>
      </c>
      <c r="B320">
        <v>26</v>
      </c>
      <c r="C320" t="inlineStr">
        <is>
          <t>@杨春玉</t>
        </is>
      </c>
      <c r="D320">
        <v>1</v>
      </c>
      <c r="E320"/>
      <c r="F320" t="inlineStr">
        <is>
          <t>@陈佳杰</t>
        </is>
      </c>
      <c r="G320">
        <v>1</v>
      </c>
      <c r="H320"/>
      <c r="I320">
        <v>7</v>
      </c>
      <c r="J320" t="inlineStr">
        <is>
          <t>Test if the game generates random questions</t>
        </is>
      </c>
      <c r="K320" t="inlineStr">
        <is>
          <t>测试游戏是否随机生成题目</t>
        </is>
      </c>
      <c r="L320" s="2" t="str">
        <f>=HYPERLINK("http://pre.mgx.dev/chat/9fd7fee449204daca993e9041d9a6752", "http://pre.mgx.dev/chat/9fd7fee449204daca993e9041d9a6752")</f>
        <v>http://pre.mgx.dev/chat/9fd7fee449204daca993e9041d9a6752</v>
      </c>
      <c r="M320" s="2" t="str">
        <f>=HYPERLINK("", "https://45771-9fd7fee449204daca993e9041d9a6752-3-latest.app.beta.mgx.dev")</f>
        <v>https://45771-9fd7fee449204daca993e9041d9a6752-3-latest.app.beta.mgx.dev</v>
      </c>
      <c r="N320" s="2" t="str">
        <f>=HYPERLINK("mailto:eval_61@auto.com", "eval_61@auto.com")</f>
        <v>eval_61@auto.com</v>
      </c>
      <c r="O320" t="inlineStr">
        <is>
          <t>9fd7fee449204daca993e9041d9a6752</t>
        </is>
      </c>
    </row>
    <row r="321" ht="25.5" customHeight="1">
      <c r="A321" t="inlineStr">
        <is>
          <t>Math Game</t>
        </is>
      </c>
      <c r="B321">
        <v>26</v>
      </c>
      <c r="C321" t="inlineStr">
        <is>
          <t>@杨春玉</t>
        </is>
      </c>
      <c r="D321">
        <v>1</v>
      </c>
      <c r="E321"/>
      <c r="F321" t="inlineStr">
        <is>
          <t>@陈佳杰</t>
        </is>
      </c>
      <c r="G321">
        <v>1</v>
      </c>
      <c r="H321"/>
      <c r="I321">
        <v>8</v>
      </c>
      <c r="J321" t="inlineStr">
        <is>
          <t>Test if the game provides an option to start a new game after completion</t>
        </is>
      </c>
      <c r="K321" t="inlineStr">
        <is>
          <t>测试游戏完成后是否提供重新开始选项</t>
        </is>
      </c>
      <c r="L321" s="2" t="str">
        <f>=HYPERLINK("http://pre.mgx.dev/chat/9fd7fee449204daca993e9041d9a6752", "http://pre.mgx.dev/chat/9fd7fee449204daca993e9041d9a6752")</f>
        <v>http://pre.mgx.dev/chat/9fd7fee449204daca993e9041d9a6752</v>
      </c>
      <c r="M321" s="2" t="str">
        <f>=HYPERLINK("", "https://45771-9fd7fee449204daca993e9041d9a6752-3-latest.app.beta.mgx.dev")</f>
        <v>https://45771-9fd7fee449204daca993e9041d9a6752-3-latest.app.beta.mgx.dev</v>
      </c>
      <c r="N321" s="2" t="str">
        <f>=HYPERLINK("mailto:eval_61@auto.com", "eval_61@auto.com")</f>
        <v>eval_61@auto.com</v>
      </c>
      <c r="O321" t="inlineStr">
        <is>
          <t>9fd7fee449204daca993e9041d9a6752</t>
        </is>
      </c>
    </row>
    <row r="322" ht="25.5" customHeight="1">
      <c r="A322" t="inlineStr">
        <is>
          <t>Math Game</t>
        </is>
      </c>
      <c r="B322">
        <v>26</v>
      </c>
      <c r="C322" t="inlineStr">
        <is>
          <t>@杨春玉</t>
        </is>
      </c>
      <c r="D322">
        <v>1</v>
      </c>
      <c r="E322"/>
      <c r="F322" t="inlineStr">
        <is>
          <t>@陈佳杰</t>
        </is>
      </c>
      <c r="G322">
        <v>1</v>
      </c>
      <c r="H322"/>
      <c r="I322">
        <v>9</v>
      </c>
      <c r="J322" t="inlineStr">
        <is>
          <t>Verify that questions include addition operations</t>
        </is>
      </c>
      <c r="K322" t="inlineStr">
        <is>
          <t>验证题目包含加法运算</t>
        </is>
      </c>
      <c r="L322" s="2" t="str">
        <f>=HYPERLINK("http://pre.mgx.dev/chat/9fd7fee449204daca993e9041d9a6752", "http://pre.mgx.dev/chat/9fd7fee449204daca993e9041d9a6752")</f>
        <v>http://pre.mgx.dev/chat/9fd7fee449204daca993e9041d9a6752</v>
      </c>
      <c r="M322" s="2" t="str">
        <f>=HYPERLINK("", "https://45771-9fd7fee449204daca993e9041d9a6752-3-latest.app.beta.mgx.dev")</f>
        <v>https://45771-9fd7fee449204daca993e9041d9a6752-3-latest.app.beta.mgx.dev</v>
      </c>
      <c r="N322" s="2" t="str">
        <f>=HYPERLINK("mailto:eval_61@auto.com", "eval_61@auto.com")</f>
        <v>eval_61@auto.com</v>
      </c>
      <c r="O322" t="inlineStr">
        <is>
          <t>9fd7fee449204daca993e9041d9a6752</t>
        </is>
      </c>
    </row>
    <row r="323" ht="25.5" customHeight="1">
      <c r="A323" t="inlineStr">
        <is>
          <t>Math Game</t>
        </is>
      </c>
      <c r="B323">
        <v>26</v>
      </c>
      <c r="C323" t="inlineStr">
        <is>
          <t>@杨春玉</t>
        </is>
      </c>
      <c r="D323">
        <v>1</v>
      </c>
      <c r="E323"/>
      <c r="F323" t="inlineStr">
        <is>
          <t>@陈佳杰</t>
        </is>
      </c>
      <c r="G323">
        <v>1</v>
      </c>
      <c r="H323"/>
      <c r="I323">
        <v>10</v>
      </c>
      <c r="J323" t="inlineStr">
        <is>
          <t>Verify that questions include division operations</t>
        </is>
      </c>
      <c r="K323" t="inlineStr">
        <is>
          <t>验证题目包含除法运算</t>
        </is>
      </c>
      <c r="L323" s="2" t="str">
        <f>=HYPERLINK("http://pre.mgx.dev/chat/9fd7fee449204daca993e9041d9a6752", "http://pre.mgx.dev/chat/9fd7fee449204daca993e9041d9a6752")</f>
        <v>http://pre.mgx.dev/chat/9fd7fee449204daca993e9041d9a6752</v>
      </c>
      <c r="M323" s="2" t="str">
        <f>=HYPERLINK("", "https://45771-9fd7fee449204daca993e9041d9a6752-3-latest.app.beta.mgx.dev")</f>
        <v>https://45771-9fd7fee449204daca993e9041d9a6752-3-latest.app.beta.mgx.dev</v>
      </c>
      <c r="N323" s="2" t="str">
        <f>=HYPERLINK("mailto:eval_61@auto.com", "eval_61@auto.com")</f>
        <v>eval_61@auto.com</v>
      </c>
      <c r="O323" t="inlineStr">
        <is>
          <t>9fd7fee449204daca993e9041d9a6752</t>
        </is>
      </c>
    </row>
    <row r="324" ht="25.5" customHeight="1">
      <c r="A324" t="inlineStr">
        <is>
          <t>Math Game</t>
        </is>
      </c>
      <c r="B324">
        <v>26</v>
      </c>
      <c r="C324" t="inlineStr">
        <is>
          <t>@杨春玉</t>
        </is>
      </c>
      <c r="D324">
        <v>1</v>
      </c>
      <c r="E324"/>
      <c r="F324" t="inlineStr">
        <is>
          <t>@陈佳杰</t>
        </is>
      </c>
      <c r="G324">
        <v>1</v>
      </c>
      <c r="H324"/>
      <c r="I324">
        <v>11</v>
      </c>
      <c r="J324" t="inlineStr">
        <is>
          <t>Verify that questions include multiplication operations</t>
        </is>
      </c>
      <c r="K324" t="inlineStr">
        <is>
          <t>验证题目包含乘法运算</t>
        </is>
      </c>
      <c r="L324" s="2" t="str">
        <f>=HYPERLINK("http://pre.mgx.dev/chat/9fd7fee449204daca993e9041d9a6752", "http://pre.mgx.dev/chat/9fd7fee449204daca993e9041d9a6752")</f>
        <v>http://pre.mgx.dev/chat/9fd7fee449204daca993e9041d9a6752</v>
      </c>
      <c r="M324" s="2" t="str">
        <f>=HYPERLINK("", "https://45771-9fd7fee449204daca993e9041d9a6752-3-latest.app.beta.mgx.dev")</f>
        <v>https://45771-9fd7fee449204daca993e9041d9a6752-3-latest.app.beta.mgx.dev</v>
      </c>
      <c r="N324" s="2" t="str">
        <f>=HYPERLINK("mailto:eval_61@auto.com", "eval_61@auto.com")</f>
        <v>eval_61@auto.com</v>
      </c>
      <c r="O324" t="inlineStr">
        <is>
          <t>9fd7fee449204daca993e9041d9a6752</t>
        </is>
      </c>
    </row>
    <row r="325" ht="25.5" customHeight="1">
      <c r="A325" t="inlineStr">
        <is>
          <t>Math Game</t>
        </is>
      </c>
      <c r="B325">
        <v>26</v>
      </c>
      <c r="C325" t="inlineStr">
        <is>
          <t>@杨春玉</t>
        </is>
      </c>
      <c r="D325">
        <v>1</v>
      </c>
      <c r="E325"/>
      <c r="F325" t="inlineStr">
        <is>
          <t>@陈佳杰</t>
        </is>
      </c>
      <c r="G325">
        <v>1</v>
      </c>
      <c r="H325"/>
      <c r="I325">
        <v>12</v>
      </c>
      <c r="J325" t="inlineStr">
        <is>
          <t>Verify that questions include subtraction operations</t>
        </is>
      </c>
      <c r="K325" t="inlineStr">
        <is>
          <t>验证题目包含减法运算</t>
        </is>
      </c>
      <c r="L325" s="2" t="str">
        <f>=HYPERLINK("http://pre.mgx.dev/chat/9fd7fee449204daca993e9041d9a6752", "http://pre.mgx.dev/chat/9fd7fee449204daca993e9041d9a6752")</f>
        <v>http://pre.mgx.dev/chat/9fd7fee449204daca993e9041d9a6752</v>
      </c>
      <c r="M325" s="2" t="str">
        <f>=HYPERLINK("", "https://45771-9fd7fee449204daca993e9041d9a6752-3-latest.app.beta.mgx.dev")</f>
        <v>https://45771-9fd7fee449204daca993e9041d9a6752-3-latest.app.beta.mgx.dev</v>
      </c>
      <c r="N325" s="2" t="str">
        <f>=HYPERLINK("mailto:eval_61@auto.com", "eval_61@auto.com")</f>
        <v>eval_61@auto.com</v>
      </c>
      <c r="O325" t="inlineStr">
        <is>
          <t>9fd7fee449204daca993e9041d9a6752</t>
        </is>
      </c>
    </row>
    <row r="326" ht="25.5" customHeight="1">
      <c r="A326" t="inlineStr">
        <is>
          <t>Math Game</t>
        </is>
      </c>
      <c r="B326">
        <v>26</v>
      </c>
      <c r="C326" t="inlineStr">
        <is>
          <t>@杨春玉</t>
        </is>
      </c>
      <c r="D326">
        <v>1</v>
      </c>
      <c r="E326"/>
      <c r="F326" t="inlineStr">
        <is>
          <t>@陈佳杰</t>
        </is>
      </c>
      <c r="G326">
        <v>1</v>
      </c>
      <c r="H326"/>
      <c r="I326">
        <v>13</v>
      </c>
      <c r="J326" t="inlineStr">
        <is>
          <t>Verify that the accuracy percentage is calculated and displayed correctly at the end</t>
        </is>
      </c>
      <c r="K326" t="inlineStr">
        <is>
          <t>验证游戏结束后准确率百分比被正确计算并展示</t>
        </is>
      </c>
      <c r="L326" s="2" t="str">
        <f>=HYPERLINK("http://pre.mgx.dev/chat/9fd7fee449204daca993e9041d9a6752", "http://pre.mgx.dev/chat/9fd7fee449204daca993e9041d9a6752")</f>
        <v>http://pre.mgx.dev/chat/9fd7fee449204daca993e9041d9a6752</v>
      </c>
      <c r="M326" s="2" t="str">
        <f>=HYPERLINK("", "https://45771-9fd7fee449204daca993e9041d9a6752-3-latest.app.beta.mgx.dev")</f>
        <v>https://45771-9fd7fee449204daca993e9041d9a6752-3-latest.app.beta.mgx.dev</v>
      </c>
      <c r="N326" s="2" t="str">
        <f>=HYPERLINK("mailto:eval_61@auto.com", "eval_61@auto.com")</f>
        <v>eval_61@auto.com</v>
      </c>
      <c r="O326" t="inlineStr">
        <is>
          <t>9fd7fee449204daca993e9041d9a6752</t>
        </is>
      </c>
    </row>
    <row r="327" ht="25.5" customHeight="1">
      <c r="A327" t="inlineStr">
        <is>
          <t>Math Game</t>
        </is>
      </c>
      <c r="B327">
        <v>26</v>
      </c>
      <c r="C327" t="inlineStr">
        <is>
          <t>@杨春玉</t>
        </is>
      </c>
      <c r="D327">
        <v>1</v>
      </c>
      <c r="E327"/>
      <c r="F327" t="inlineStr">
        <is>
          <t>@陈佳杰</t>
        </is>
      </c>
      <c r="G327">
        <v>1</v>
      </c>
      <c r="H327"/>
      <c r="I327">
        <v>14</v>
      </c>
      <c r="J327" t="inlineStr">
        <is>
          <t>Verify that the score doesn't change when an incorrect answer is given</t>
        </is>
      </c>
      <c r="K327" t="inlineStr">
        <is>
          <t>验证输入错误答案后分数不变化</t>
        </is>
      </c>
      <c r="L327" s="2" t="str">
        <f>=HYPERLINK("http://pre.mgx.dev/chat/9fd7fee449204daca993e9041d9a6752", "http://pre.mgx.dev/chat/9fd7fee449204daca993e9041d9a6752")</f>
        <v>http://pre.mgx.dev/chat/9fd7fee449204daca993e9041d9a6752</v>
      </c>
      <c r="M327" s="2" t="str">
        <f>=HYPERLINK("", "https://45771-9fd7fee449204daca993e9041d9a6752-3-latest.app.beta.mgx.dev")</f>
        <v>https://45771-9fd7fee449204daca993e9041d9a6752-3-latest.app.beta.mgx.dev</v>
      </c>
      <c r="N327" s="2" t="str">
        <f>=HYPERLINK("mailto:eval_61@auto.com", "eval_61@auto.com")</f>
        <v>eval_61@auto.com</v>
      </c>
      <c r="O327" t="inlineStr">
        <is>
          <t>9fd7fee449204daca993e9041d9a6752</t>
        </is>
      </c>
    </row>
    <row r="328" ht="25.5" customHeight="1">
      <c r="A328" t="inlineStr">
        <is>
          <t>Math Game</t>
        </is>
      </c>
      <c r="B328">
        <v>26</v>
      </c>
      <c r="C328" t="inlineStr">
        <is>
          <t>@杨春玉</t>
        </is>
      </c>
      <c r="D328">
        <v>1</v>
      </c>
      <c r="E328"/>
      <c r="F328" t="inlineStr">
        <is>
          <t>@陈佳杰</t>
        </is>
      </c>
      <c r="G328">
        <v>1</v>
      </c>
      <c r="H328"/>
      <c r="I328">
        <v>15</v>
      </c>
      <c r="J328" t="inlineStr">
        <is>
          <t>Verify that the score increases when a correct answer is given</t>
        </is>
      </c>
      <c r="K328" t="inlineStr">
        <is>
          <t>验证输入正确答案后分数增加</t>
        </is>
      </c>
      <c r="L328" s="2" t="str">
        <f>=HYPERLINK("http://pre.mgx.dev/chat/9fd7fee449204daca993e9041d9a6752", "http://pre.mgx.dev/chat/9fd7fee449204daca993e9041d9a6752")</f>
        <v>http://pre.mgx.dev/chat/9fd7fee449204daca993e9041d9a6752</v>
      </c>
      <c r="M328" s="2" t="str">
        <f>=HYPERLINK("", "https://45771-9fd7fee449204daca993e9041d9a6752-3-latest.app.beta.mgx.dev")</f>
        <v>https://45771-9fd7fee449204daca993e9041d9a6752-3-latest.app.beta.mgx.dev</v>
      </c>
      <c r="N328" s="2" t="str">
        <f>=HYPERLINK("mailto:eval_61@auto.com", "eval_61@auto.com")</f>
        <v>eval_61@auto.com</v>
      </c>
      <c r="O328" t="inlineStr">
        <is>
          <t>9fd7fee449204daca993e9041d9a6752</t>
        </is>
      </c>
    </row>
    <row r="329" ht="25.5" customHeight="1">
      <c r="A329" t="inlineStr">
        <is>
          <t>Medical Symptom Severity Analyzer</t>
        </is>
      </c>
      <c r="B329">
        <v>27</v>
      </c>
      <c r="C329" t="inlineStr">
        <is>
          <t>@杨春玉</t>
        </is>
      </c>
      <c r="D329">
        <v>0</v>
      </c>
      <c r="E329" t="inlineStr">
        <is>
          <t>不可输入0-10以外的数值</t>
        </is>
      </c>
      <c r="F329" t="inlineStr">
        <is>
          <t>@陈佳杰</t>
        </is>
      </c>
      <c r="G329">
        <v>0</v>
      </c>
      <c r="H329" t="inlineStr">
        <is>
          <t>不可输入0-10以外的数值</t>
        </is>
      </c>
      <c r="I329">
        <v>1</v>
      </c>
      <c r="J329" t="inlineStr">
        <is>
          <t>Attempt to save symptom entry with invalid severity rating (e.g., 0 or 11) and verify error</t>
        </is>
      </c>
      <c r="K329" t="inlineStr">
        <is>
          <t>尝试使用无效的严重程度评分（如0或11）保存症状记录并验证报错</t>
        </is>
      </c>
      <c r="L329" s="2" t="str">
        <f>=HYPERLINK("https://atoms.dev/chat/246d6c005d0f40158c295d0b97546406", "https://atoms.dev/chat/246d6c005d0f40158c295d0b97546406")</f>
        <v>https://atoms.dev/chat/246d6c005d0f40158c295d0b97546406</v>
      </c>
      <c r="M329" s="2" t="str">
        <f>=HYPERLINK("https://890124-246d6c005d0f40158c295d0b97546406-latest-dev.dev.atoms.dev/", "https://890124-246d6c005d0f40158c295d0b97546406-latest-dev.dev.atoms.dev/")</f>
        <v>https://890124-246d6c005d0f40158c295d0b97546406-latest-dev.dev.atoms.dev/</v>
      </c>
      <c r="N329" s="2" t="str">
        <f>=HYPERLINK("http://press_test4@mgx.dev", "press_test4@mgx.dev")</f>
        <v>press_test4@mgx.dev</v>
      </c>
      <c r="O329" t="inlineStr">
        <is>
          <t>246d6c005d0f40158c295d0b97546406</t>
        </is>
      </c>
    </row>
    <row r="330" ht="25.5" customHeight="1">
      <c r="A330" t="inlineStr">
        <is>
          <t>Medical Symptom Severity Analyzer</t>
        </is>
      </c>
      <c r="B330">
        <v>27</v>
      </c>
      <c r="C330" t="inlineStr">
        <is>
          <t>@杨春玉</t>
        </is>
      </c>
      <c r="D330">
        <v>1</v>
      </c>
      <c r="E330"/>
      <c r="F330" t="inlineStr">
        <is>
          <t>@陈佳杰</t>
        </is>
      </c>
      <c r="G330">
        <v>1</v>
      </c>
      <c r="H330"/>
      <c r="I330">
        <v>2</v>
      </c>
      <c r="J330" t="inlineStr">
        <is>
          <t>Attempt to submit symptom log with missing required fields and verify error message</t>
        </is>
      </c>
      <c r="K330" t="inlineStr">
        <is>
          <t>尝试提交缺失必填项的症状日志并验证展示错误提示</t>
        </is>
      </c>
      <c r="L330" s="2" t="str">
        <f>=HYPERLINK("https://atoms.dev/chat/246d6c005d0f40158c295d0b97546406", "https://atoms.dev/chat/246d6c005d0f40158c295d0b97546406")</f>
        <v>https://atoms.dev/chat/246d6c005d0f40158c295d0b97546406</v>
      </c>
      <c r="M330" s="2" t="str">
        <f>=HYPERLINK("https://890124-246d6c005d0f40158c295d0b97546406-latest-dev.dev.atoms.dev/", "https://890124-246d6c005d0f40158c295d0b97546406-latest-dev.dev.atoms.dev/")</f>
        <v>https://890124-246d6c005d0f40158c295d0b97546406-latest-dev.dev.atoms.dev/</v>
      </c>
      <c r="N330" s="2" t="str">
        <f>=HYPERLINK("http://press_test4@mgx.dev", "press_test4@mgx.dev")</f>
        <v>press_test4@mgx.dev</v>
      </c>
      <c r="O330" t="inlineStr">
        <is>
          <t>246d6c005d0f40158c295d0b97546406</t>
        </is>
      </c>
    </row>
    <row r="331" ht="25.5" customHeight="1">
      <c r="A331" t="inlineStr">
        <is>
          <t>Medical Symptom Severity Analyzer</t>
        </is>
      </c>
      <c r="B331">
        <v>27</v>
      </c>
      <c r="C331" t="inlineStr">
        <is>
          <t>@杨春玉</t>
        </is>
      </c>
      <c r="D331">
        <v>1</v>
      </c>
      <c r="E331"/>
      <c r="F331" t="inlineStr">
        <is>
          <t>@陈佳杰</t>
        </is>
      </c>
      <c r="G331">
        <v>1</v>
      </c>
      <c r="H331"/>
      <c r="I331">
        <v>3</v>
      </c>
      <c r="J331" t="inlineStr">
        <is>
          <t>Test date range filter in symptom history view</t>
        </is>
      </c>
      <c r="K331" t="inlineStr">
        <is>
          <t>测试症状历史视图中的日期范围筛选功能</t>
        </is>
      </c>
      <c r="L331" s="2" t="str">
        <f>=HYPERLINK("https://atoms.dev/chat/246d6c005d0f40158c295d0b97546406", "https://atoms.dev/chat/246d6c005d0f40158c295d0b97546406")</f>
        <v>https://atoms.dev/chat/246d6c005d0f40158c295d0b97546406</v>
      </c>
      <c r="M331" s="2" t="str">
        <f>=HYPERLINK("https://890124-246d6c005d0f40158c295d0b97546406-latest-dev.dev.atoms.dev/", "https://890124-246d6c005d0f40158c295d0b97546406-latest-dev.dev.atoms.dev/")</f>
        <v>https://890124-246d6c005d0f40158c295d0b97546406-latest-dev.dev.atoms.dev/</v>
      </c>
      <c r="N331" s="2" t="str">
        <f>=HYPERLINK("http://press_test4@mgx.dev", "press_test4@mgx.dev")</f>
        <v>press_test4@mgx.dev</v>
      </c>
      <c r="O331" t="inlineStr">
        <is>
          <t>246d6c005d0f40158c295d0b97546406</t>
        </is>
      </c>
    </row>
    <row r="332" ht="25.5" customHeight="1">
      <c r="A332" t="inlineStr">
        <is>
          <t>Medical Symptom Severity Analyzer</t>
        </is>
      </c>
      <c r="B332">
        <v>27</v>
      </c>
      <c r="C332" t="inlineStr">
        <is>
          <t>@杨春玉</t>
        </is>
      </c>
      <c r="D332">
        <v>0</v>
      </c>
      <c r="E332" t="inlineStr">
        <is>
          <t xml:space="preserve">只能填充Symptom Name </t>
        </is>
      </c>
      <c r="F332" t="inlineStr">
        <is>
          <t>@陈佳杰</t>
        </is>
      </c>
      <c r="G332">
        <v>0</v>
      </c>
      <c r="H332" t="inlineStr">
        <is>
          <t xml:space="preserve">只能填充Symptom Name </t>
        </is>
      </c>
      <c r="I332">
        <v>4</v>
      </c>
      <c r="J332" t="inlineStr">
        <is>
          <t>Test quick-log feature auto-fills previous symptom details correctly</t>
        </is>
      </c>
      <c r="K332" t="inlineStr">
        <is>
          <t>测试快速记录功能是否正确自动填充之前的症状详情</t>
        </is>
      </c>
      <c r="L332" s="2" t="str">
        <f>=HYPERLINK("https://atoms.dev/chat/246d6c005d0f40158c295d0b97546406", "https://atoms.dev/chat/246d6c005d0f40158c295d0b97546406")</f>
        <v>https://atoms.dev/chat/246d6c005d0f40158c295d0b97546406</v>
      </c>
      <c r="M332" s="2" t="str">
        <f>=HYPERLINK("https://890124-246d6c005d0f40158c295d0b97546406-latest-dev.dev.atoms.dev/", "https://890124-246d6c005d0f40158c295d0b97546406-latest-dev.dev.atoms.dev/")</f>
        <v>https://890124-246d6c005d0f40158c295d0b97546406-latest-dev.dev.atoms.dev/</v>
      </c>
      <c r="N332" s="2" t="str">
        <f>=HYPERLINK("http://press_test4@mgx.dev", "press_test4@mgx.dev")</f>
        <v>press_test4@mgx.dev</v>
      </c>
      <c r="O332" t="inlineStr">
        <is>
          <t>246d6c005d0f40158c295d0b97546406</t>
        </is>
      </c>
    </row>
    <row r="333" ht="25.5" customHeight="1">
      <c r="A333" t="inlineStr">
        <is>
          <t>Medical Symptom Severity Analyzer</t>
        </is>
      </c>
      <c r="B333">
        <v>27</v>
      </c>
      <c r="C333" t="inlineStr">
        <is>
          <t>@杨春玉</t>
        </is>
      </c>
      <c r="D333">
        <v>1</v>
      </c>
      <c r="E333"/>
      <c r="F333" t="inlineStr">
        <is>
          <t>@陈佳杰</t>
        </is>
      </c>
      <c r="G333">
        <v>1</v>
      </c>
      <c r="H333"/>
      <c r="I333">
        <v>5</v>
      </c>
      <c r="J333" t="inlineStr">
        <is>
          <t>Test retrieval of saved symptom entries</t>
        </is>
      </c>
      <c r="K333" t="inlineStr">
        <is>
          <t>测试调取已保存的症状记录</t>
        </is>
      </c>
      <c r="L333" s="2" t="str">
        <f>=HYPERLINK("https://atoms.dev/chat/246d6c005d0f40158c295d0b97546406", "https://atoms.dev/chat/246d6c005d0f40158c295d0b97546406")</f>
        <v>https://atoms.dev/chat/246d6c005d0f40158c295d0b97546406</v>
      </c>
      <c r="M333" s="2" t="str">
        <f>=HYPERLINK("https://890124-246d6c005d0f40158c295d0b97546406-latest-dev.dev.atoms.dev/", "https://890124-246d6c005d0f40158c295d0b97546406-latest-dev.dev.atoms.dev/")</f>
        <v>https://890124-246d6c005d0f40158c295d0b97546406-latest-dev.dev.atoms.dev/</v>
      </c>
      <c r="N333" s="2" t="str">
        <f>=HYPERLINK("http://press_test4@mgx.dev", "press_test4@mgx.dev")</f>
        <v>press_test4@mgx.dev</v>
      </c>
      <c r="O333" t="inlineStr">
        <is>
          <t>246d6c005d0f40158c295d0b97546406</t>
        </is>
      </c>
    </row>
    <row r="334" ht="25.5" customHeight="1">
      <c r="A334" t="inlineStr">
        <is>
          <t>Medical Symptom Severity Analyzer</t>
        </is>
      </c>
      <c r="B334">
        <v>27</v>
      </c>
      <c r="C334" t="inlineStr">
        <is>
          <t>@杨春玉</t>
        </is>
      </c>
      <c r="D334">
        <v>1</v>
      </c>
      <c r="E334"/>
      <c r="F334" t="inlineStr">
        <is>
          <t>@陈佳杰</t>
        </is>
      </c>
      <c r="G334">
        <v>1</v>
      </c>
      <c r="H334"/>
      <c r="I334">
        <v>6</v>
      </c>
      <c r="J334" t="inlineStr">
        <is>
          <t>Test submission of symptom log with all required fields filled</t>
        </is>
      </c>
      <c r="K334" t="inlineStr">
        <is>
          <t>测试填写所有必填项后提交症状日志</t>
        </is>
      </c>
      <c r="L334" s="2" t="str">
        <f>=HYPERLINK("https://atoms.dev/chat/246d6c005d0f40158c295d0b97546406", "https://atoms.dev/chat/246d6c005d0f40158c295d0b97546406")</f>
        <v>https://atoms.dev/chat/246d6c005d0f40158c295d0b97546406</v>
      </c>
      <c r="M334" s="2" t="str">
        <f>=HYPERLINK("https://890124-246d6c005d0f40158c295d0b97546406-latest-dev.dev.atoms.dev/", "https://890124-246d6c005d0f40158c295d0b97546406-latest-dev.dev.atoms.dev/")</f>
        <v>https://890124-246d6c005d0f40158c295d0b97546406-latest-dev.dev.atoms.dev/</v>
      </c>
      <c r="N334" s="2" t="str">
        <f>=HYPERLINK("http://press_test4@mgx.dev", "press_test4@mgx.dev")</f>
        <v>press_test4@mgx.dev</v>
      </c>
      <c r="O334" t="inlineStr">
        <is>
          <t>246d6c005d0f40158c295d0b97546406</t>
        </is>
      </c>
    </row>
    <row r="335" ht="25.5" customHeight="1">
      <c r="A335" t="inlineStr">
        <is>
          <t>Medical Symptom Severity Analyzer</t>
        </is>
      </c>
      <c r="B335">
        <v>27</v>
      </c>
      <c r="C335" t="inlineStr">
        <is>
          <t>@杨春玉</t>
        </is>
      </c>
      <c r="D335">
        <v>1</v>
      </c>
      <c r="E335"/>
      <c r="F335" t="inlineStr">
        <is>
          <t>@陈佳杰</t>
        </is>
      </c>
      <c r="G335">
        <v>1</v>
      </c>
      <c r="H335"/>
      <c r="I335">
        <v>7</v>
      </c>
      <c r="J335" t="inlineStr">
        <is>
          <t>Test symptom logging interface displays all required input fields (symptom name, severity rating, date/time, notes)</t>
        </is>
      </c>
      <c r="K335" t="inlineStr">
        <is>
          <t>测试症状记录界面展示所有必填输入字段（症状名称、严重程度、日期/时间、备注）</t>
        </is>
      </c>
      <c r="L335" s="2" t="str">
        <f>=HYPERLINK("https://atoms.dev/chat/246d6c005d0f40158c295d0b97546406", "https://atoms.dev/chat/246d6c005d0f40158c295d0b97546406")</f>
        <v>https://atoms.dev/chat/246d6c005d0f40158c295d0b97546406</v>
      </c>
      <c r="M335" s="2" t="str">
        <f>=HYPERLINK("https://890124-246d6c005d0f40158c295d0b97546406-latest-dev.dev.atoms.dev/", "https://890124-246d6c005d0f40158c295d0b97546406-latest-dev.dev.atoms.dev/")</f>
        <v>https://890124-246d6c005d0f40158c295d0b97546406-latest-dev.dev.atoms.dev/</v>
      </c>
      <c r="N335" s="2" t="str">
        <f>=HYPERLINK("http://press_test4@mgx.dev", "press_test4@mgx.dev")</f>
        <v>press_test4@mgx.dev</v>
      </c>
      <c r="O335" t="inlineStr">
        <is>
          <t>246d6c005d0f40158c295d0b97546406</t>
        </is>
      </c>
    </row>
    <row r="336" ht="25.5" customHeight="1">
      <c r="A336" t="inlineStr">
        <is>
          <t>Medical Symptom Severity Analyzer</t>
        </is>
      </c>
      <c r="B336">
        <v>27</v>
      </c>
      <c r="C336" t="inlineStr">
        <is>
          <t>@杨春玉</t>
        </is>
      </c>
      <c r="D336">
        <v>1</v>
      </c>
      <c r="E336"/>
      <c r="F336" t="inlineStr">
        <is>
          <t>@陈佳杰</t>
        </is>
      </c>
      <c r="G336">
        <v>1</v>
      </c>
      <c r="H336"/>
      <c r="I336">
        <v>8</v>
      </c>
      <c r="J336" t="inlineStr">
        <is>
          <t>Test symptom type filter in symptom history view</t>
        </is>
      </c>
      <c r="K336" t="inlineStr">
        <is>
          <t>测试症状历史视图中的症状类型筛选功能</t>
        </is>
      </c>
      <c r="L336" s="2" t="str">
        <f>=HYPERLINK("https://atoms.dev/chat/246d6c005d0f40158c295d0b97546406", "https://atoms.dev/chat/246d6c005d0f40158c295d0b97546406")</f>
        <v>https://atoms.dev/chat/246d6c005d0f40158c295d0b97546406</v>
      </c>
      <c r="M336" s="2" t="str">
        <f>=HYPERLINK("https://890124-246d6c005d0f40158c295d0b97546406-latest-dev.dev.atoms.dev/", "https://890124-246d6c005d0f40158c295d0b97546406-latest-dev.dev.atoms.dev/")</f>
        <v>https://890124-246d6c005d0f40158c295d0b97546406-latest-dev.dev.atoms.dev/</v>
      </c>
      <c r="N336" s="2" t="str">
        <f>=HYPERLINK("http://press_test4@mgx.dev", "press_test4@mgx.dev")</f>
        <v>press_test4@mgx.dev</v>
      </c>
      <c r="O336" t="inlineStr">
        <is>
          <t>246d6c005d0f40158c295d0b97546406</t>
        </is>
      </c>
    </row>
    <row r="337" ht="25.5" customHeight="1">
      <c r="A337" t="inlineStr">
        <is>
          <t>Medical Symptom Severity Analyzer</t>
        </is>
      </c>
      <c r="B337">
        <v>27</v>
      </c>
      <c r="C337" t="inlineStr">
        <is>
          <t>@杨春玉</t>
        </is>
      </c>
      <c r="D337">
        <v>1</v>
      </c>
      <c r="E337"/>
      <c r="F337" t="inlineStr">
        <is>
          <t>@陈佳杰</t>
        </is>
      </c>
      <c r="G337">
        <v>1</v>
      </c>
      <c r="H337"/>
      <c r="I337">
        <v>9</v>
      </c>
      <c r="J337" t="inlineStr">
        <is>
          <t>Verify ability to edit auto-filled details in quick-log feature before submission</t>
        </is>
      </c>
      <c r="K337" t="inlineStr">
        <is>
          <t>验证快速记录功能中可在提交前编辑自动填充的详情</t>
        </is>
      </c>
      <c r="L337" s="2" t="str">
        <f>=HYPERLINK("https://atoms.dev/chat/246d6c005d0f40158c295d0b97546406", "https://atoms.dev/chat/246d6c005d0f40158c295d0b97546406")</f>
        <v>https://atoms.dev/chat/246d6c005d0f40158c295d0b97546406</v>
      </c>
      <c r="M337" s="2" t="str">
        <f>=HYPERLINK("https://890124-246d6c005d0f40158c295d0b97546406-latest-dev.dev.atoms.dev/", "https://890124-246d6c005d0f40158c295d0b97546406-latest-dev.dev.atoms.dev/")</f>
        <v>https://890124-246d6c005d0f40158c295d0b97546406-latest-dev.dev.atoms.dev/</v>
      </c>
      <c r="N337" s="2" t="str">
        <f>=HYPERLINK("http://press_test4@mgx.dev", "press_test4@mgx.dev")</f>
        <v>press_test4@mgx.dev</v>
      </c>
      <c r="O337" t="inlineStr">
        <is>
          <t>246d6c005d0f40158c295d0b97546406</t>
        </is>
      </c>
    </row>
    <row r="338" ht="25.5" customHeight="1">
      <c r="A338" t="inlineStr">
        <is>
          <t>Medical Symptom Severity Analyzer</t>
        </is>
      </c>
      <c r="B338">
        <v>27</v>
      </c>
      <c r="C338" t="inlineStr">
        <is>
          <t>@杨春玉</t>
        </is>
      </c>
      <c r="D338">
        <v>1</v>
      </c>
      <c r="E338"/>
      <c r="F338" t="inlineStr">
        <is>
          <t>@陈佳杰</t>
        </is>
      </c>
      <c r="G338">
        <v>1</v>
      </c>
      <c r="H338"/>
      <c r="I338">
        <v>10</v>
      </c>
      <c r="J338" t="inlineStr">
        <is>
          <t>Verify combination of date range and symptom type filters works correctly</t>
        </is>
      </c>
      <c r="K338" t="inlineStr">
        <is>
          <t>验证日期范围和症状类型筛选组合使用时功能正常</t>
        </is>
      </c>
      <c r="L338" s="2" t="str">
        <f>=HYPERLINK("https://atoms.dev/chat/246d6c005d0f40158c295d0b97546406", "https://atoms.dev/chat/246d6c005d0f40158c295d0b97546406")</f>
        <v>https://atoms.dev/chat/246d6c005d0f40158c295d0b97546406</v>
      </c>
      <c r="M338" s="2" t="str">
        <f>=HYPERLINK("https://890124-246d6c005d0f40158c295d0b97546406-latest-dev.dev.atoms.dev/", "https://890124-246d6c005d0f40158c295d0b97546406-latest-dev.dev.atoms.dev/")</f>
        <v>https://890124-246d6c005d0f40158c295d0b97546406-latest-dev.dev.atoms.dev/</v>
      </c>
      <c r="N338" s="2" t="str">
        <f>=HYPERLINK("http://press_test4@mgx.dev", "press_test4@mgx.dev")</f>
        <v>press_test4@mgx.dev</v>
      </c>
      <c r="O338" t="inlineStr">
        <is>
          <t>246d6c005d0f40158c295d0b97546406</t>
        </is>
      </c>
    </row>
    <row r="339" ht="25.5" customHeight="1">
      <c r="A339" t="inlineStr">
        <is>
          <t>Medical Symptom Severity Analyzer</t>
        </is>
      </c>
      <c r="B339">
        <v>27</v>
      </c>
      <c r="C339" t="inlineStr">
        <is>
          <t>@杨春玉</t>
        </is>
      </c>
      <c r="D339">
        <v>1</v>
      </c>
      <c r="E339"/>
      <c r="F339" t="inlineStr">
        <is>
          <t>@陈佳杰</t>
        </is>
      </c>
      <c r="G339">
        <v>1</v>
      </c>
      <c r="H339"/>
      <c r="I339">
        <v>11</v>
      </c>
      <c r="J339" t="inlineStr">
        <is>
          <t>Verify severity rating input accepts only values from 1 to 10</t>
        </is>
      </c>
      <c r="K339" t="inlineStr">
        <is>
          <t>验证严重程度评分输入框仅接收1至10的数值</t>
        </is>
      </c>
      <c r="L339" s="2" t="str">
        <f>=HYPERLINK("https://atoms.dev/chat/246d6c005d0f40158c295d0b97546406", "https://atoms.dev/chat/246d6c005d0f40158c295d0b97546406")</f>
        <v>https://atoms.dev/chat/246d6c005d0f40158c295d0b97546406</v>
      </c>
      <c r="M339" s="2" t="str">
        <f>=HYPERLINK("https://890124-246d6c005d0f40158c295d0b97546406-latest-dev.dev.atoms.dev/", "https://890124-246d6c005d0f40158c295d0b97546406-latest-dev.dev.atoms.dev/")</f>
        <v>https://890124-246d6c005d0f40158c295d0b97546406-latest-dev.dev.atoms.dev/</v>
      </c>
      <c r="N339" s="2" t="str">
        <f>=HYPERLINK("http://press_test4@mgx.dev", "press_test4@mgx.dev")</f>
        <v>press_test4@mgx.dev</v>
      </c>
      <c r="O339" t="inlineStr">
        <is>
          <t>246d6c005d0f40158c295d0b97546406</t>
        </is>
      </c>
    </row>
    <row r="340" ht="25.5" customHeight="1">
      <c r="A340" t="inlineStr">
        <is>
          <t>Medical Symptom Severity Analyzer</t>
        </is>
      </c>
      <c r="B340">
        <v>27</v>
      </c>
      <c r="C340" t="inlineStr">
        <is>
          <t>@杨春玉</t>
        </is>
      </c>
      <c r="D340">
        <v>1</v>
      </c>
      <c r="E340"/>
      <c r="F340" t="inlineStr">
        <is>
          <t>@陈佳杰</t>
        </is>
      </c>
      <c r="G340">
        <v>1</v>
      </c>
      <c r="H340"/>
      <c r="I340">
        <v>12</v>
      </c>
      <c r="J340" t="inlineStr">
        <is>
          <t>Verify symptom history view displays all logged symptoms in chronological order</t>
        </is>
      </c>
      <c r="K340" t="inlineStr">
        <is>
          <t>验证症状历史视图按时间顺序展示所有已记录的症状</t>
        </is>
      </c>
      <c r="L340" s="2" t="str">
        <f>=HYPERLINK("https://atoms.dev/chat/246d6c005d0f40158c295d0b97546406", "https://atoms.dev/chat/246d6c005d0f40158c295d0b97546406")</f>
        <v>https://atoms.dev/chat/246d6c005d0f40158c295d0b97546406</v>
      </c>
      <c r="M340" s="2" t="str">
        <f>=HYPERLINK("https://890124-246d6c005d0f40158c295d0b97546406-latest-dev.dev.atoms.dev/", "https://890124-246d6c005d0f40158c295d0b97546406-latest-dev.dev.atoms.dev/")</f>
        <v>https://890124-246d6c005d0f40158c295d0b97546406-latest-dev.dev.atoms.dev/</v>
      </c>
      <c r="N340" s="2" t="str">
        <f>=HYPERLINK("http://press_test4@mgx.dev", "press_test4@mgx.dev")</f>
        <v>press_test4@mgx.dev</v>
      </c>
      <c r="O340" t="inlineStr">
        <is>
          <t>246d6c005d0f40158c295d0b97546406</t>
        </is>
      </c>
    </row>
    <row r="341" ht="25.5" customHeight="1">
      <c r="A341" t="inlineStr">
        <is>
          <t>Memory Match</t>
        </is>
      </c>
      <c r="B341">
        <v>28</v>
      </c>
      <c r="C341" t="inlineStr">
        <is>
          <t>@杨春玉</t>
        </is>
      </c>
      <c r="D341">
        <v>1</v>
      </c>
      <c r="E341"/>
      <c r="F341" t="inlineStr">
        <is>
          <t>@陈佳杰</t>
        </is>
      </c>
      <c r="G341">
        <v>1</v>
      </c>
      <c r="H341"/>
      <c r="I341">
        <v>1</v>
      </c>
      <c r="J341" t="inlineStr">
        <is>
          <t>Check that cards can be flipped over when clicked</t>
        </is>
      </c>
      <c r="K341" t="inlineStr">
        <is>
          <t>检查点击卡片是否可翻转</t>
        </is>
      </c>
      <c r="L341" s="2" t="str">
        <f>=HYPERLINK("http://pre.mgx.dev/chat/17528c179d384ffcb4839dc07efff663", "http://pre.mgx.dev/chat/17528c179d384ffcb4839dc07efff663")</f>
        <v>http://pre.mgx.dev/chat/17528c179d384ffcb4839dc07efff663</v>
      </c>
      <c r="M341" s="2" t="str">
        <f>=HYPERLINK("", "https://45773-17528c179d384ffcb4839dc07efff663-3-latest.app.beta.mgx.dev")</f>
        <v>https://45773-17528c179d384ffcb4839dc07efff663-3-latest.app.beta.mgx.dev</v>
      </c>
      <c r="N341" s="2" t="str">
        <f>=HYPERLINK("mailto:eval_63@auto.com", "eval_63@auto.com")</f>
        <v>eval_63@auto.com</v>
      </c>
      <c r="O341" t="inlineStr">
        <is>
          <t>17528c179d384ffcb4839dc07efff663</t>
        </is>
      </c>
    </row>
    <row r="342" ht="25.5" customHeight="1">
      <c r="A342" t="inlineStr">
        <is>
          <t>Memory Match</t>
        </is>
      </c>
      <c r="B342">
        <v>28</v>
      </c>
      <c r="C342" t="inlineStr">
        <is>
          <t>@杨春玉</t>
        </is>
      </c>
      <c r="D342">
        <v>1</v>
      </c>
      <c r="E342"/>
      <c r="F342" t="inlineStr">
        <is>
          <t>@陈佳杰</t>
        </is>
      </c>
      <c r="G342">
        <v>1</v>
      </c>
      <c r="H342"/>
      <c r="I342">
        <v>2</v>
      </c>
      <c r="J342" t="inlineStr">
        <is>
          <t>Check that clicking the restart button resets the game board, timer, and move counter</t>
        </is>
      </c>
      <c r="K342" t="inlineStr">
        <is>
          <t>检查点击重新开始按钮是否重置游戏面板、计时器和步数计数器</t>
        </is>
      </c>
      <c r="L342" s="2" t="str">
        <f>=HYPERLINK("http://pre.mgx.dev/chat/17528c179d384ffcb4839dc07efff663", "http://pre.mgx.dev/chat/17528c179d384ffcb4839dc07efff663")</f>
        <v>http://pre.mgx.dev/chat/17528c179d384ffcb4839dc07efff663</v>
      </c>
      <c r="M342" s="2" t="str">
        <f>=HYPERLINK("", "https://45773-17528c179d384ffcb4839dc07efff663-3-latest.app.beta.mgx.dev")</f>
        <v>https://45773-17528c179d384ffcb4839dc07efff663-3-latest.app.beta.mgx.dev</v>
      </c>
      <c r="N342" s="2" t="str">
        <f>=HYPERLINK("mailto:eval_63@auto.com", "eval_63@auto.com")</f>
        <v>eval_63@auto.com</v>
      </c>
      <c r="O342" t="inlineStr">
        <is>
          <t>17528c179d384ffcb4839dc07efff663</t>
        </is>
      </c>
    </row>
    <row r="343" ht="25.5" customHeight="1">
      <c r="A343" t="inlineStr">
        <is>
          <t>Memory Match</t>
        </is>
      </c>
      <c r="B343">
        <v>28</v>
      </c>
      <c r="C343" t="inlineStr">
        <is>
          <t>@杨春玉</t>
        </is>
      </c>
      <c r="D343">
        <v>1</v>
      </c>
      <c r="E343"/>
      <c r="F343" t="inlineStr">
        <is>
          <t>@陈佳杰</t>
        </is>
      </c>
      <c r="G343">
        <v>1</v>
      </c>
      <c r="H343"/>
      <c r="I343">
        <v>3</v>
      </c>
      <c r="J343" t="inlineStr">
        <is>
          <t>Check that the game board updates correctly after cards disappear</t>
        </is>
      </c>
      <c r="K343" t="inlineStr">
        <is>
          <t>检查卡片消失后游戏面板是否正确更新</t>
        </is>
      </c>
      <c r="L343" s="2" t="str">
        <f>=HYPERLINK("http://pre.mgx.dev/chat/17528c179d384ffcb4839dc07efff663", "http://pre.mgx.dev/chat/17528c179d384ffcb4839dc07efff663")</f>
        <v>http://pre.mgx.dev/chat/17528c179d384ffcb4839dc07efff663</v>
      </c>
      <c r="M343" s="2" t="str">
        <f>=HYPERLINK("", "https://45773-17528c179d384ffcb4839dc07efff663-3-latest.app.beta.mgx.dev")</f>
        <v>https://45773-17528c179d384ffcb4839dc07efff663-3-latest.app.beta.mgx.dev</v>
      </c>
      <c r="N343" s="2" t="str">
        <f>=HYPERLINK("mailto:eval_63@auto.com", "eval_63@auto.com")</f>
        <v>eval_63@auto.com</v>
      </c>
      <c r="O343" t="inlineStr">
        <is>
          <t>17528c179d384ffcb4839dc07efff663</t>
        </is>
      </c>
    </row>
    <row r="344" ht="25.5" customHeight="1">
      <c r="A344" t="inlineStr">
        <is>
          <t>Memory Match</t>
        </is>
      </c>
      <c r="B344">
        <v>28</v>
      </c>
      <c r="C344" t="inlineStr">
        <is>
          <t>@杨春玉</t>
        </is>
      </c>
      <c r="D344">
        <v>1</v>
      </c>
      <c r="E344"/>
      <c r="F344" t="inlineStr">
        <is>
          <t>@陈佳杰</t>
        </is>
      </c>
      <c r="G344">
        <v>1</v>
      </c>
      <c r="H344"/>
      <c r="I344">
        <v>4</v>
      </c>
      <c r="J344" t="inlineStr">
        <is>
          <t>Check that the game ends when all cards are matched</t>
        </is>
      </c>
      <c r="K344" t="inlineStr">
        <is>
          <t>检查所有卡片匹配完成后游戏是否结束</t>
        </is>
      </c>
      <c r="L344" s="2" t="str">
        <f>=HYPERLINK("http://pre.mgx.dev/chat/17528c179d384ffcb4839dc07efff663", "http://pre.mgx.dev/chat/17528c179d384ffcb4839dc07efff663")</f>
        <v>http://pre.mgx.dev/chat/17528c179d384ffcb4839dc07efff663</v>
      </c>
      <c r="M344" s="2" t="str">
        <f>=HYPERLINK("", "https://45773-17528c179d384ffcb4839dc07efff663-3-latest.app.beta.mgx.dev")</f>
        <v>https://45773-17528c179d384ffcb4839dc07efff663-3-latest.app.beta.mgx.dev</v>
      </c>
      <c r="N344" s="2" t="str">
        <f>=HYPERLINK("mailto:eval_63@auto.com", "eval_63@auto.com")</f>
        <v>eval_63@auto.com</v>
      </c>
      <c r="O344" t="inlineStr">
        <is>
          <t>17528c179d384ffcb4839dc07efff663</t>
        </is>
      </c>
    </row>
    <row r="345" ht="25.5" customHeight="1">
      <c r="A345" t="inlineStr">
        <is>
          <t>Memory Match</t>
        </is>
      </c>
      <c r="B345">
        <v>28</v>
      </c>
      <c r="C345" t="inlineStr">
        <is>
          <t>@杨春玉</t>
        </is>
      </c>
      <c r="D345">
        <v>1</v>
      </c>
      <c r="E345"/>
      <c r="F345" t="inlineStr">
        <is>
          <t>@陈佳杰</t>
        </is>
      </c>
      <c r="G345">
        <v>1</v>
      </c>
      <c r="H345"/>
      <c r="I345">
        <v>5</v>
      </c>
      <c r="J345" t="inlineStr">
        <is>
          <t>Check that the timer accurately tracks elapsed time</t>
        </is>
      </c>
      <c r="K345" t="inlineStr">
        <is>
          <t>检查计时器是否准确记录耗时</t>
        </is>
      </c>
      <c r="L345" s="2" t="str">
        <f>=HYPERLINK("http://pre.mgx.dev/chat/17528c179d384ffcb4839dc07efff663", "http://pre.mgx.dev/chat/17528c179d384ffcb4839dc07efff663")</f>
        <v>http://pre.mgx.dev/chat/17528c179d384ffcb4839dc07efff663</v>
      </c>
      <c r="M345" s="2" t="str">
        <f>=HYPERLINK("", "https://45773-17528c179d384ffcb4839dc07efff663-3-latest.app.beta.mgx.dev")</f>
        <v>https://45773-17528c179d384ffcb4839dc07efff663-3-latest.app.beta.mgx.dev</v>
      </c>
      <c r="N345" s="2" t="str">
        <f>=HYPERLINK("mailto:eval_63@auto.com", "eval_63@auto.com")</f>
        <v>eval_63@auto.com</v>
      </c>
      <c r="O345" t="inlineStr">
        <is>
          <t>17528c179d384ffcb4839dc07efff663</t>
        </is>
      </c>
    </row>
    <row r="346" ht="25.5" customHeight="1">
      <c r="A346" t="inlineStr">
        <is>
          <t>Memory Match</t>
        </is>
      </c>
      <c r="B346">
        <v>28</v>
      </c>
      <c r="C346" t="inlineStr">
        <is>
          <t>@杨春玉</t>
        </is>
      </c>
      <c r="D346">
        <v>1</v>
      </c>
      <c r="E346"/>
      <c r="F346" t="inlineStr">
        <is>
          <t>@陈佳杰</t>
        </is>
      </c>
      <c r="G346">
        <v>1</v>
      </c>
      <c r="H346"/>
      <c r="I346">
        <v>6</v>
      </c>
      <c r="J346" t="inlineStr">
        <is>
          <t>Confirm that a move counter is visible on the game screen</t>
        </is>
      </c>
      <c r="K346" t="inlineStr">
        <is>
          <t>确认游戏屏幕上可见步数计数器</t>
        </is>
      </c>
      <c r="L346" s="2" t="str">
        <f>=HYPERLINK("http://pre.mgx.dev/chat/17528c179d384ffcb4839dc07efff663", "http://pre.mgx.dev/chat/17528c179d384ffcb4839dc07efff663")</f>
        <v>http://pre.mgx.dev/chat/17528c179d384ffcb4839dc07efff663</v>
      </c>
      <c r="M346" s="2" t="str">
        <f>=HYPERLINK("", "https://45773-17528c179d384ffcb4839dc07efff663-3-latest.app.beta.mgx.dev")</f>
        <v>https://45773-17528c179d384ffcb4839dc07efff663-3-latest.app.beta.mgx.dev</v>
      </c>
      <c r="N346" s="2" t="str">
        <f>=HYPERLINK("mailto:eval_63@auto.com", "eval_63@auto.com")</f>
        <v>eval_63@auto.com</v>
      </c>
      <c r="O346" t="inlineStr">
        <is>
          <t>17528c179d384ffcb4839dc07efff663</t>
        </is>
      </c>
    </row>
    <row r="347" ht="25.5" customHeight="1">
      <c r="A347" t="inlineStr">
        <is>
          <t>Memory Match</t>
        </is>
      </c>
      <c r="B347">
        <v>28</v>
      </c>
      <c r="C347" t="inlineStr">
        <is>
          <t>@杨春玉</t>
        </is>
      </c>
      <c r="D347">
        <v>1</v>
      </c>
      <c r="E347"/>
      <c r="F347" t="inlineStr">
        <is>
          <t>@陈佳杰</t>
        </is>
      </c>
      <c r="G347">
        <v>1</v>
      </c>
      <c r="H347"/>
      <c r="I347">
        <v>7</v>
      </c>
      <c r="J347" t="inlineStr">
        <is>
          <t>Ensure that a new game starts correctly after clicking the restart button</t>
        </is>
      </c>
      <c r="K347" t="inlineStr">
        <is>
          <t>确保点击重新开始按钮后新游戏正常启动</t>
        </is>
      </c>
      <c r="L347" s="2" t="str">
        <f>=HYPERLINK("http://pre.mgx.dev/chat/17528c179d384ffcb4839dc07efff663", "http://pre.mgx.dev/chat/17528c179d384ffcb4839dc07efff663")</f>
        <v>http://pre.mgx.dev/chat/17528c179d384ffcb4839dc07efff663</v>
      </c>
      <c r="M347" s="2" t="str">
        <f>=HYPERLINK("", "https://45773-17528c179d384ffcb4839dc07efff663-3-latest.app.beta.mgx.dev")</f>
        <v>https://45773-17528c179d384ffcb4839dc07efff663-3-latest.app.beta.mgx.dev</v>
      </c>
      <c r="N347" s="2" t="str">
        <f>=HYPERLINK("mailto:eval_63@auto.com", "eval_63@auto.com")</f>
        <v>eval_63@auto.com</v>
      </c>
      <c r="O347" t="inlineStr">
        <is>
          <t>17528c179d384ffcb4839dc07efff663</t>
        </is>
      </c>
    </row>
    <row r="348" ht="25.5" customHeight="1">
      <c r="A348" t="inlineStr">
        <is>
          <t>Memory Match</t>
        </is>
      </c>
      <c r="B348">
        <v>28</v>
      </c>
      <c r="C348" t="inlineStr">
        <is>
          <t>@杨春玉</t>
        </is>
      </c>
      <c r="D348">
        <v>1</v>
      </c>
      <c r="E348"/>
      <c r="F348" t="inlineStr">
        <is>
          <t>@陈佳杰</t>
        </is>
      </c>
      <c r="G348">
        <v>1</v>
      </c>
      <c r="H348"/>
      <c r="I348">
        <v>8</v>
      </c>
      <c r="J348" t="inlineStr">
        <is>
          <t>Ensure that flipped cards reveal a pattern or image</t>
        </is>
      </c>
      <c r="K348" t="inlineStr">
        <is>
          <t>确保翻转的卡片显示图案或图片</t>
        </is>
      </c>
      <c r="L348" s="2" t="str">
        <f>=HYPERLINK("http://pre.mgx.dev/chat/17528c179d384ffcb4839dc07efff663", "http://pre.mgx.dev/chat/17528c179d384ffcb4839dc07efff663")</f>
        <v>http://pre.mgx.dev/chat/17528c179d384ffcb4839dc07efff663</v>
      </c>
      <c r="M348" s="2" t="str">
        <f>=HYPERLINK("", "https://45773-17528c179d384ffcb4839dc07efff663-3-latest.app.beta.mgx.dev")</f>
        <v>https://45773-17528c179d384ffcb4839dc07efff663-3-latest.app.beta.mgx.dev</v>
      </c>
      <c r="N348" s="2" t="str">
        <f>=HYPERLINK("mailto:eval_63@auto.com", "eval_63@auto.com")</f>
        <v>eval_63@auto.com</v>
      </c>
      <c r="O348" t="inlineStr">
        <is>
          <t>17528c179d384ffcb4839dc07efff663</t>
        </is>
      </c>
    </row>
    <row r="349" ht="25.5" customHeight="1">
      <c r="A349" t="inlineStr">
        <is>
          <t>Memory Match</t>
        </is>
      </c>
      <c r="B349">
        <v>28</v>
      </c>
      <c r="C349" t="inlineStr">
        <is>
          <t>@杨春玉</t>
        </is>
      </c>
      <c r="D349">
        <v>1</v>
      </c>
      <c r="E349"/>
      <c r="F349" t="inlineStr">
        <is>
          <t>@陈佳杰</t>
        </is>
      </c>
      <c r="G349">
        <v>1</v>
      </c>
      <c r="H349"/>
      <c r="I349">
        <v>9</v>
      </c>
      <c r="J349" t="inlineStr">
        <is>
          <t>Ensure that non-matching cards remain on the board</t>
        </is>
      </c>
      <c r="K349" t="inlineStr">
        <is>
          <t>确保未匹配的卡片保留在面板上</t>
        </is>
      </c>
      <c r="L349" s="2" t="str">
        <f>=HYPERLINK("http://pre.mgx.dev/chat/17528c179d384ffcb4839dc07efff663", "http://pre.mgx.dev/chat/17528c179d384ffcb4839dc07efff663")</f>
        <v>http://pre.mgx.dev/chat/17528c179d384ffcb4839dc07efff663</v>
      </c>
      <c r="M349" s="2" t="str">
        <f>=HYPERLINK("", "https://45773-17528c179d384ffcb4839dc07efff663-3-latest.app.beta.mgx.dev")</f>
        <v>https://45773-17528c179d384ffcb4839dc07efff663-3-latest.app.beta.mgx.dev</v>
      </c>
      <c r="N349" s="2" t="str">
        <f>=HYPERLINK("mailto:eval_63@auto.com", "eval_63@auto.com")</f>
        <v>eval_63@auto.com</v>
      </c>
      <c r="O349" t="inlineStr">
        <is>
          <t>17528c179d384ffcb4839dc07efff663</t>
        </is>
      </c>
    </row>
    <row r="350" ht="25.5" customHeight="1">
      <c r="A350" t="inlineStr">
        <is>
          <t>Memory Match</t>
        </is>
      </c>
      <c r="B350">
        <v>28</v>
      </c>
      <c r="C350" t="inlineStr">
        <is>
          <t>@杨春玉</t>
        </is>
      </c>
      <c r="D350">
        <v>1</v>
      </c>
      <c r="E350"/>
      <c r="F350" t="inlineStr">
        <is>
          <t>@陈佳杰</t>
        </is>
      </c>
      <c r="G350">
        <v>1</v>
      </c>
      <c r="H350"/>
      <c r="I350">
        <v>10</v>
      </c>
      <c r="J350" t="inlineStr">
        <is>
          <t>Ensure that the final time and number of moves are displayed at the end</t>
        </is>
      </c>
      <c r="K350" t="inlineStr">
        <is>
          <t>确保游戏结束后展示最终耗时和步数</t>
        </is>
      </c>
      <c r="L350" s="2" t="str">
        <f>=HYPERLINK("http://pre.mgx.dev/chat/17528c179d384ffcb4839dc07efff663", "http://pre.mgx.dev/chat/17528c179d384ffcb4839dc07efff663")</f>
        <v>http://pre.mgx.dev/chat/17528c179d384ffcb4839dc07efff663</v>
      </c>
      <c r="M350" s="2" t="str">
        <f>=HYPERLINK("", "https://45773-17528c179d384ffcb4839dc07efff663-3-latest.app.beta.mgx.dev")</f>
        <v>https://45773-17528c179d384ffcb4839dc07efff663-3-latest.app.beta.mgx.dev</v>
      </c>
      <c r="N350" s="2" t="str">
        <f>=HYPERLINK("mailto:eval_63@auto.com", "eval_63@auto.com")</f>
        <v>eval_63@auto.com</v>
      </c>
      <c r="O350" t="inlineStr">
        <is>
          <t>17528c179d384ffcb4839dc07efff663</t>
        </is>
      </c>
    </row>
    <row r="351" ht="25.5" customHeight="1">
      <c r="A351" t="inlineStr">
        <is>
          <t>Memory Match</t>
        </is>
      </c>
      <c r="B351">
        <v>28</v>
      </c>
      <c r="C351" t="inlineStr">
        <is>
          <t>@杨春玉</t>
        </is>
      </c>
      <c r="D351">
        <v>1</v>
      </c>
      <c r="E351"/>
      <c r="F351" t="inlineStr">
        <is>
          <t>@陈佳杰</t>
        </is>
      </c>
      <c r="G351">
        <v>1</v>
      </c>
      <c r="H351"/>
      <c r="I351">
        <v>11</v>
      </c>
      <c r="J351" t="inlineStr">
        <is>
          <t>Ensure that the timer starts when the game begins</t>
        </is>
      </c>
      <c r="K351" t="inlineStr">
        <is>
          <t>确保游戏开始时计时器启动</t>
        </is>
      </c>
      <c r="L351" s="2" t="str">
        <f>=HYPERLINK("http://pre.mgx.dev/chat/17528c179d384ffcb4839dc07efff663", "http://pre.mgx.dev/chat/17528c179d384ffcb4839dc07efff663")</f>
        <v>http://pre.mgx.dev/chat/17528c179d384ffcb4839dc07efff663</v>
      </c>
      <c r="M351" s="2" t="str">
        <f>=HYPERLINK("", "https://45773-17528c179d384ffcb4839dc07efff663-3-latest.app.beta.mgx.dev")</f>
        <v>https://45773-17528c179d384ffcb4839dc07efff663-3-latest.app.beta.mgx.dev</v>
      </c>
      <c r="N351" s="2" t="str">
        <f>=HYPERLINK("mailto:eval_63@auto.com", "eval_63@auto.com")</f>
        <v>eval_63@auto.com</v>
      </c>
      <c r="O351" t="inlineStr">
        <is>
          <t>17528c179d384ffcb4839dc07efff663</t>
        </is>
      </c>
    </row>
    <row r="352" ht="25.5" customHeight="1">
      <c r="A352" t="inlineStr">
        <is>
          <t>Memory Match</t>
        </is>
      </c>
      <c r="B352">
        <v>28</v>
      </c>
      <c r="C352" t="inlineStr">
        <is>
          <t>@杨春玉</t>
        </is>
      </c>
      <c r="D352">
        <v>1</v>
      </c>
      <c r="E352"/>
      <c r="F352" t="inlineStr">
        <is>
          <t>@陈佳杰</t>
        </is>
      </c>
      <c r="G352">
        <v>1</v>
      </c>
      <c r="H352"/>
      <c r="I352">
        <v>12</v>
      </c>
      <c r="J352" t="inlineStr">
        <is>
          <t>Ensure the move counter accurately reflects the number of moves made</t>
        </is>
      </c>
      <c r="K352" t="inlineStr">
        <is>
          <t>确保步数计数器准确反映已走步数</t>
        </is>
      </c>
      <c r="L352" s="2" t="str">
        <f>=HYPERLINK("http://pre.mgx.dev/chat/17528c179d384ffcb4839dc07efff663", "http://pre.mgx.dev/chat/17528c179d384ffcb4839dc07efff663")</f>
        <v>http://pre.mgx.dev/chat/17528c179d384ffcb4839dc07efff663</v>
      </c>
      <c r="M352" s="2" t="str">
        <f>=HYPERLINK("", "https://45773-17528c179d384ffcb4839dc07efff663-3-latest.app.beta.mgx.dev")</f>
        <v>https://45773-17528c179d384ffcb4839dc07efff663-3-latest.app.beta.mgx.dev</v>
      </c>
      <c r="N352" s="2" t="str">
        <f>=HYPERLINK("mailto:eval_63@auto.com", "eval_63@auto.com")</f>
        <v>eval_63@auto.com</v>
      </c>
      <c r="O352" t="inlineStr">
        <is>
          <t>17528c179d384ffcb4839dc07efff663</t>
        </is>
      </c>
    </row>
    <row r="353" ht="25.5" customHeight="1">
      <c r="A353" t="inlineStr">
        <is>
          <t>Memory Match</t>
        </is>
      </c>
      <c r="B353">
        <v>28</v>
      </c>
      <c r="C353" t="inlineStr">
        <is>
          <t>@杨春玉</t>
        </is>
      </c>
      <c r="D353">
        <v>1</v>
      </c>
      <c r="E353"/>
      <c r="F353" t="inlineStr">
        <is>
          <t>@陈佳杰</t>
        </is>
      </c>
      <c r="G353">
        <v>1</v>
      </c>
      <c r="H353"/>
      <c r="I353">
        <v>13</v>
      </c>
      <c r="J353" t="inlineStr">
        <is>
          <t>Verify that a restart button is present on the game completion screen</t>
        </is>
      </c>
      <c r="K353" t="inlineStr">
        <is>
          <t>验证游戏完成界面上存在重新开始按钮</t>
        </is>
      </c>
      <c r="L353" s="2" t="str">
        <f>=HYPERLINK("http://pre.mgx.dev/chat/17528c179d384ffcb4839dc07efff663", "http://pre.mgx.dev/chat/17528c179d384ffcb4839dc07efff663")</f>
        <v>http://pre.mgx.dev/chat/17528c179d384ffcb4839dc07efff663</v>
      </c>
      <c r="M353" s="2" t="str">
        <f>=HYPERLINK("", "https://45773-17528c179d384ffcb4839dc07efff663-3-latest.app.beta.mgx.dev")</f>
        <v>https://45773-17528c179d384ffcb4839dc07efff663-3-latest.app.beta.mgx.dev</v>
      </c>
      <c r="N353" s="2" t="str">
        <f>=HYPERLINK("mailto:eval_63@auto.com", "eval_63@auto.com")</f>
        <v>eval_63@auto.com</v>
      </c>
      <c r="O353" t="inlineStr">
        <is>
          <t>17528c179d384ffcb4839dc07efff663</t>
        </is>
      </c>
    </row>
    <row r="354" ht="25.5" customHeight="1">
      <c r="A354" t="inlineStr">
        <is>
          <t>Memory Match</t>
        </is>
      </c>
      <c r="B354">
        <v>28</v>
      </c>
      <c r="C354" t="inlineStr">
        <is>
          <t>@杨春玉</t>
        </is>
      </c>
      <c r="D354">
        <v>1</v>
      </c>
      <c r="E354"/>
      <c r="F354" t="inlineStr">
        <is>
          <t>@陈佳杰</t>
        </is>
      </c>
      <c r="G354">
        <v>1</v>
      </c>
      <c r="H354"/>
      <c r="I354">
        <v>14</v>
      </c>
      <c r="J354" t="inlineStr">
        <is>
          <t>Verify that a timer is visible on the game screen</t>
        </is>
      </c>
      <c r="K354" t="inlineStr">
        <is>
          <t>验证游戏屏幕上可见计时器</t>
        </is>
      </c>
      <c r="L354" s="2" t="str">
        <f>=HYPERLINK("http://pre.mgx.dev/chat/17528c179d384ffcb4839dc07efff663", "http://pre.mgx.dev/chat/17528c179d384ffcb4839dc07efff663")</f>
        <v>http://pre.mgx.dev/chat/17528c179d384ffcb4839dc07efff663</v>
      </c>
      <c r="M354" s="2" t="str">
        <f>=HYPERLINK("", "https://45773-17528c179d384ffcb4839dc07efff663-3-latest.app.beta.mgx.dev")</f>
        <v>https://45773-17528c179d384ffcb4839dc07efff663-3-latest.app.beta.mgx.dev</v>
      </c>
      <c r="N354" s="2" t="str">
        <f>=HYPERLINK("mailto:eval_63@auto.com", "eval_63@auto.com")</f>
        <v>eval_63@auto.com</v>
      </c>
      <c r="O354" t="inlineStr">
        <is>
          <t>17528c179d384ffcb4839dc07efff663</t>
        </is>
      </c>
    </row>
    <row r="355" ht="25.5" customHeight="1">
      <c r="A355" t="inlineStr">
        <is>
          <t>Memory Match</t>
        </is>
      </c>
      <c r="B355">
        <v>28</v>
      </c>
      <c r="C355" t="inlineStr">
        <is>
          <t>@杨春玉</t>
        </is>
      </c>
      <c r="D355">
        <v>1</v>
      </c>
      <c r="E355"/>
      <c r="F355" t="inlineStr">
        <is>
          <t>@陈佳杰</t>
        </is>
      </c>
      <c r="G355">
        <v>1</v>
      </c>
      <c r="H355"/>
      <c r="I355">
        <v>15</v>
      </c>
      <c r="J355" t="inlineStr">
        <is>
          <t>Verify that flipped cards return to face-down position if not matched</t>
        </is>
      </c>
      <c r="K355" t="inlineStr">
        <is>
          <t>验证未匹配的翻转卡片恢复至正面朝下状态</t>
        </is>
      </c>
      <c r="L355" s="2" t="str">
        <f>=HYPERLINK("http://pre.mgx.dev/chat/17528c179d384ffcb4839dc07efff663", "http://pre.mgx.dev/chat/17528c179d384ffcb4839dc07efff663")</f>
        <v>http://pre.mgx.dev/chat/17528c179d384ffcb4839dc07efff663</v>
      </c>
      <c r="M355" s="2" t="str">
        <f>=HYPERLINK("", "https://45773-17528c179d384ffcb4839dc07efff663-3-latest.app.beta.mgx.dev")</f>
        <v>https://45773-17528c179d384ffcb4839dc07efff663-3-latest.app.beta.mgx.dev</v>
      </c>
      <c r="N355" s="2" t="str">
        <f>=HYPERLINK("mailto:eval_63@auto.com", "eval_63@auto.com")</f>
        <v>eval_63@auto.com</v>
      </c>
      <c r="O355" t="inlineStr">
        <is>
          <t>17528c179d384ffcb4839dc07efff663</t>
        </is>
      </c>
    </row>
    <row r="356" ht="25.5" customHeight="1">
      <c r="A356" t="inlineStr">
        <is>
          <t>Memory Match</t>
        </is>
      </c>
      <c r="B356">
        <v>28</v>
      </c>
      <c r="C356" t="inlineStr">
        <is>
          <t>@杨春玉</t>
        </is>
      </c>
      <c r="D356">
        <v>1</v>
      </c>
      <c r="E356"/>
      <c r="F356" t="inlineStr">
        <is>
          <t>@陈佳杰</t>
        </is>
      </c>
      <c r="G356">
        <v>1</v>
      </c>
      <c r="H356"/>
      <c r="I356">
        <v>16</v>
      </c>
      <c r="J356" t="inlineStr">
        <is>
          <t>Verify that the game board displays a set of face-down cards</t>
        </is>
      </c>
      <c r="K356" t="inlineStr">
        <is>
          <t>验证游戏面板展示一组正面朝下的卡片</t>
        </is>
      </c>
      <c r="L356" s="2" t="str">
        <f>=HYPERLINK("http://pre.mgx.dev/chat/17528c179d384ffcb4839dc07efff663", "http://pre.mgx.dev/chat/17528c179d384ffcb4839dc07efff663")</f>
        <v>http://pre.mgx.dev/chat/17528c179d384ffcb4839dc07efff663</v>
      </c>
      <c r="M356" s="2" t="str">
        <f>=HYPERLINK("", "https://45773-17528c179d384ffcb4839dc07efff663-3-latest.app.beta.mgx.dev")</f>
        <v>https://45773-17528c179d384ffcb4839dc07efff663-3-latest.app.beta.mgx.dev</v>
      </c>
      <c r="N356" s="2" t="str">
        <f>=HYPERLINK("mailto:eval_63@auto.com", "eval_63@auto.com")</f>
        <v>eval_63@auto.com</v>
      </c>
      <c r="O356" t="inlineStr">
        <is>
          <t>17528c179d384ffcb4839dc07efff663</t>
        </is>
      </c>
    </row>
    <row r="357" ht="25.5" customHeight="1">
      <c r="A357" t="inlineStr">
        <is>
          <t>Memory Match</t>
        </is>
      </c>
      <c r="B357">
        <v>28</v>
      </c>
      <c r="C357" t="inlineStr">
        <is>
          <t>@杨春玉</t>
        </is>
      </c>
      <c r="D357">
        <v>0</v>
      </c>
      <c r="E357" t="inlineStr">
        <is>
          <t>每翻转两次步数加1</t>
        </is>
      </c>
      <c r="F357" t="inlineStr">
        <is>
          <t>@陈佳杰</t>
        </is>
      </c>
      <c r="G357">
        <v>1</v>
      </c>
      <c r="H357"/>
      <c r="I357">
        <v>17</v>
      </c>
      <c r="J357" t="inlineStr">
        <is>
          <t>Verify that the move counter increments with each card flip</t>
        </is>
      </c>
      <c r="K357" t="inlineStr">
        <is>
          <t>验证每次翻转卡片步数计数器加1</t>
        </is>
      </c>
      <c r="L357" s="2" t="str">
        <f>=HYPERLINK("http://pre.mgx.dev/chat/17528c179d384ffcb4839dc07efff663", "http://pre.mgx.dev/chat/17528c179d384ffcb4839dc07efff663")</f>
        <v>http://pre.mgx.dev/chat/17528c179d384ffcb4839dc07efff663</v>
      </c>
      <c r="M357" s="2" t="str">
        <f>=HYPERLINK("", "https://45773-17528c179d384ffcb4839dc07efff663-3-latest.app.beta.mgx.dev")</f>
        <v>https://45773-17528c179d384ffcb4839dc07efff663-3-latest.app.beta.mgx.dev</v>
      </c>
      <c r="N357" s="2" t="str">
        <f>=HYPERLINK("mailto:eval_63@auto.com", "eval_63@auto.com")</f>
        <v>eval_63@auto.com</v>
      </c>
      <c r="O357" t="inlineStr">
        <is>
          <t>17528c179d384ffcb4839dc07efff663</t>
        </is>
      </c>
    </row>
    <row r="358" ht="25.5" customHeight="1">
      <c r="A358" t="inlineStr">
        <is>
          <t>MenuExpress</t>
        </is>
      </c>
      <c r="B358">
        <v>29</v>
      </c>
      <c r="C358" t="inlineStr">
        <is>
          <t>@杨春玉</t>
        </is>
      </c>
      <c r="D358">
        <v>1</v>
      </c>
      <c r="E358"/>
      <c r="F358" t="inlineStr">
        <is>
          <t>@陈佳杰</t>
        </is>
      </c>
      <c r="G358">
        <v>1</v>
      </c>
      <c r="H358"/>
      <c r="I358">
        <v>1</v>
      </c>
      <c r="J358" t="inlineStr">
        <is>
          <t>Check if order status is correctly updated and displayed to the user</t>
        </is>
      </c>
      <c r="K358" t="inlineStr">
        <is>
          <t>检查订单状态是否正确更新并展示给用户</t>
        </is>
      </c>
      <c r="L358" s="2" t="str">
        <f>=HYPERLINK("https://atoms.dev/chat/bcd143f398494a77b61df5f81bf8dd5e", "https://atoms.dev/chat/bcd143f398494a77b61df5f81bf8dd5e")</f>
        <v>https://atoms.dev/chat/bcd143f398494a77b61df5f81bf8dd5e</v>
      </c>
      <c r="M358" s="2" t="str">
        <f>=HYPERLINK("https://890130-bcd143f398494a77b61df5f81bf8dd5e-latest-dev.dev.atoms.dev/", "https://890130-bcd143f398494a77b61df5f81bf8dd5e-latest-dev.dev.atoms.dev/")</f>
        <v>https://890130-bcd143f398494a77b61df5f81bf8dd5e-latest-dev.dev.atoms.dev/</v>
      </c>
      <c r="N358" s="2" t="str">
        <f>=HYPERLINK("http://press_test8@mgx.dev", "press_test8@mgx.dev")</f>
        <v>press_test8@mgx.dev</v>
      </c>
      <c r="O358" t="inlineStr">
        <is>
          <t>bcd143f398494a77b61df5f81bf8dd5e</t>
        </is>
      </c>
    </row>
    <row r="359" ht="25.5" customHeight="1">
      <c r="A359" t="inlineStr">
        <is>
          <t>MenuExpress</t>
        </is>
      </c>
      <c r="B359">
        <v>29</v>
      </c>
      <c r="C359" t="inlineStr">
        <is>
          <t>@杨春玉</t>
        </is>
      </c>
      <c r="D359">
        <v>1</v>
      </c>
      <c r="E359"/>
      <c r="F359" t="inlineStr">
        <is>
          <t>@陈佳杰</t>
        </is>
      </c>
      <c r="G359">
        <v>1</v>
      </c>
      <c r="H359"/>
      <c r="I359">
        <v>2</v>
      </c>
      <c r="J359" t="inlineStr">
        <is>
          <t>Check if restaurant menu is displayed when a restaurant is selected</t>
        </is>
      </c>
      <c r="K359" t="inlineStr">
        <is>
          <t>检查选择餐厅后是否展示该餐厅的菜单</t>
        </is>
      </c>
      <c r="L359" s="2" t="str">
        <f>=HYPERLINK("https://atoms.dev/chat/bcd143f398494a77b61df5f81bf8dd5e", "https://atoms.dev/chat/bcd143f398494a77b61df5f81bf8dd5e")</f>
        <v>https://atoms.dev/chat/bcd143f398494a77b61df5f81bf8dd5e</v>
      </c>
      <c r="M359" s="2" t="str">
        <f>=HYPERLINK("https://890130-bcd143f398494a77b61df5f81bf8dd5e-latest-dev.dev.atoms.dev/", "https://890130-bcd143f398494a77b61df5f81bf8dd5e-latest-dev.dev.atoms.dev/")</f>
        <v>https://890130-bcd143f398494a77b61df5f81bf8dd5e-latest-dev.dev.atoms.dev/</v>
      </c>
      <c r="N359" s="2" t="str">
        <f>=HYPERLINK("http://press_test8@mgx.dev", "press_test8@mgx.dev")</f>
        <v>press_test8@mgx.dev</v>
      </c>
      <c r="O359" t="inlineStr">
        <is>
          <t>bcd143f398494a77b61df5f81bf8dd5e</t>
        </is>
      </c>
    </row>
    <row r="360" ht="25.5" customHeight="1">
      <c r="A360" t="inlineStr">
        <is>
          <t>MenuExpress</t>
        </is>
      </c>
      <c r="B360">
        <v>29</v>
      </c>
      <c r="C360" t="inlineStr">
        <is>
          <t>@杨春玉</t>
        </is>
      </c>
      <c r="D360">
        <v>0</v>
      </c>
      <c r="E360" t="inlineStr">
        <is>
          <t>保存的菜单只包含正确的菜品名称和价格</t>
        </is>
      </c>
      <c r="F360" t="inlineStr">
        <is>
          <t>@陈佳杰</t>
        </is>
      </c>
      <c r="G360">
        <v>0</v>
      </c>
      <c r="H360" t="inlineStr">
        <is>
          <t>缺少菜品详情</t>
        </is>
      </c>
      <c r="I360">
        <v>3</v>
      </c>
      <c r="J360" t="inlineStr">
        <is>
          <t>Check if saved menu includes correct dish details, prices, and restaurant information</t>
        </is>
      </c>
      <c r="K360" t="inlineStr">
        <is>
          <t>检查保存的菜单是否包含正确的菜品详情、价格和餐厅信息</t>
        </is>
      </c>
      <c r="L360" s="2" t="str">
        <f>=HYPERLINK("https://atoms.dev/chat/bcd143f398494a77b61df5f81bf8dd5e", "https://atoms.dev/chat/bcd143f398494a77b61df5f81bf8dd5e")</f>
        <v>https://atoms.dev/chat/bcd143f398494a77b61df5f81bf8dd5e</v>
      </c>
      <c r="M360" s="2" t="str">
        <f>=HYPERLINK("https://890130-bcd143f398494a77b61df5f81bf8dd5e-latest-dev.dev.atoms.dev/", "https://890130-bcd143f398494a77b61df5f81bf8dd5e-latest-dev.dev.atoms.dev/")</f>
        <v>https://890130-bcd143f398494a77b61df5f81bf8dd5e-latest-dev.dev.atoms.dev/</v>
      </c>
      <c r="N360" s="2" t="str">
        <f>=HYPERLINK("http://press_test8@mgx.dev", "press_test8@mgx.dev")</f>
        <v>press_test8@mgx.dev</v>
      </c>
      <c r="O360" t="inlineStr">
        <is>
          <t>bcd143f398494a77b61df5f81bf8dd5e</t>
        </is>
      </c>
    </row>
    <row r="361" ht="25.5" customHeight="1">
      <c r="A361" t="inlineStr">
        <is>
          <t>MenuExpress</t>
        </is>
      </c>
      <c r="B361">
        <v>29</v>
      </c>
      <c r="C361" t="inlineStr">
        <is>
          <t>@杨春玉</t>
        </is>
      </c>
      <c r="D361">
        <v>1</v>
      </c>
      <c r="E361"/>
      <c r="F361" t="inlineStr">
        <is>
          <t>@陈佳杰</t>
        </is>
      </c>
      <c r="G361">
        <v>1</v>
      </c>
      <c r="H361"/>
      <c r="I361">
        <v>4</v>
      </c>
      <c r="J361" t="inlineStr">
        <is>
          <t>Test adding a dish to the personalized menu</t>
        </is>
      </c>
      <c r="K361" t="inlineStr">
        <is>
          <t>测试将菜品添加至个性化菜单</t>
        </is>
      </c>
      <c r="L361" s="2" t="str">
        <f>=HYPERLINK("https://atoms.dev/chat/bcd143f398494a77b61df5f81bf8dd5e", "https://atoms.dev/chat/bcd143f398494a77b61df5f81bf8dd5e")</f>
        <v>https://atoms.dev/chat/bcd143f398494a77b61df5f81bf8dd5e</v>
      </c>
      <c r="M361" s="2" t="str">
        <f>=HYPERLINK("https://890130-bcd143f398494a77b61df5f81bf8dd5e-latest-dev.dev.atoms.dev/", "https://890130-bcd143f398494a77b61df5f81bf8dd5e-latest-dev.dev.atoms.dev/")</f>
        <v>https://890130-bcd143f398494a77b61df5f81bf8dd5e-latest-dev.dev.atoms.dev/</v>
      </c>
      <c r="N361" s="2" t="str">
        <f>=HYPERLINK("http://press_test8@mgx.dev", "press_test8@mgx.dev")</f>
        <v>press_test8@mgx.dev</v>
      </c>
      <c r="O361" t="inlineStr">
        <is>
          <t>bcd143f398494a77b61df5f81bf8dd5e</t>
        </is>
      </c>
    </row>
    <row r="362" ht="25.5" customHeight="1">
      <c r="A362" t="inlineStr">
        <is>
          <t>MenuExpress</t>
        </is>
      </c>
      <c r="B362">
        <v>29</v>
      </c>
      <c r="C362" t="inlineStr">
        <is>
          <t>@杨春玉</t>
        </is>
      </c>
      <c r="D362">
        <v>1</v>
      </c>
      <c r="E362"/>
      <c r="F362" t="inlineStr">
        <is>
          <t>@陈佳杰</t>
        </is>
      </c>
      <c r="G362">
        <v>1</v>
      </c>
      <c r="H362"/>
      <c r="I362">
        <v>5</v>
      </c>
      <c r="J362" t="inlineStr">
        <is>
          <t>Test changing quantity of a dish in the personalized menu</t>
        </is>
      </c>
      <c r="K362" t="inlineStr">
        <is>
          <t>测试修改个性化菜单中的菜品数量</t>
        </is>
      </c>
      <c r="L362" s="2" t="str">
        <f>=HYPERLINK("https://atoms.dev/chat/bcd143f398494a77b61df5f81bf8dd5e", "https://atoms.dev/chat/bcd143f398494a77b61df5f81bf8dd5e")</f>
        <v>https://atoms.dev/chat/bcd143f398494a77b61df5f81bf8dd5e</v>
      </c>
      <c r="M362" s="2" t="str">
        <f>=HYPERLINK("https://890130-bcd143f398494a77b61df5f81bf8dd5e-latest-dev.dev.atoms.dev/", "https://890130-bcd143f398494a77b61df5f81bf8dd5e-latest-dev.dev.atoms.dev/")</f>
        <v>https://890130-bcd143f398494a77b61df5f81bf8dd5e-latest-dev.dev.atoms.dev/</v>
      </c>
      <c r="N362" s="2" t="str">
        <f>=HYPERLINK("http://press_test8@mgx.dev", "press_test8@mgx.dev")</f>
        <v>press_test8@mgx.dev</v>
      </c>
      <c r="O362" t="inlineStr">
        <is>
          <t>bcd143f398494a77b61df5f81bf8dd5e</t>
        </is>
      </c>
    </row>
    <row r="363" ht="25.5" customHeight="1">
      <c r="A363" t="inlineStr">
        <is>
          <t>MenuExpress</t>
        </is>
      </c>
      <c r="B363">
        <v>29</v>
      </c>
      <c r="C363" t="inlineStr">
        <is>
          <t>@杨春玉</t>
        </is>
      </c>
      <c r="D363">
        <v>1</v>
      </c>
      <c r="E363"/>
      <c r="F363" t="inlineStr">
        <is>
          <t>@陈佳杰</t>
        </is>
      </c>
      <c r="G363">
        <v>1</v>
      </c>
      <c r="H363"/>
      <c r="I363">
        <v>6</v>
      </c>
      <c r="J363" t="inlineStr">
        <is>
          <t>Test date and time selection for order scheduling</t>
        </is>
      </c>
      <c r="K363" t="inlineStr">
        <is>
          <t>测试选择订单预约的日期和时间</t>
        </is>
      </c>
      <c r="L363" s="2" t="str">
        <f>=HYPERLINK("https://atoms.dev/chat/bcd143f398494a77b61df5f81bf8dd5e", "https://atoms.dev/chat/bcd143f398494a77b61df5f81bf8dd5e")</f>
        <v>https://atoms.dev/chat/bcd143f398494a77b61df5f81bf8dd5e</v>
      </c>
      <c r="M363" s="2" t="str">
        <f>=HYPERLINK("https://890130-bcd143f398494a77b61df5f81bf8dd5e-latest-dev.dev.atoms.dev/", "https://890130-bcd143f398494a77b61df5f81bf8dd5e-latest-dev.dev.atoms.dev/")</f>
        <v>https://890130-bcd143f398494a77b61df5f81bf8dd5e-latest-dev.dev.atoms.dev/</v>
      </c>
      <c r="N363" s="2" t="str">
        <f>=HYPERLINK("http://press_test8@mgx.dev", "press_test8@mgx.dev")</f>
        <v>press_test8@mgx.dev</v>
      </c>
      <c r="O363" t="inlineStr">
        <is>
          <t>bcd143f398494a77b61df5f81bf8dd5e</t>
        </is>
      </c>
    </row>
    <row r="364" ht="25.5" customHeight="1">
      <c r="A364" t="inlineStr">
        <is>
          <t>MenuExpress</t>
        </is>
      </c>
      <c r="B364">
        <v>29</v>
      </c>
      <c r="C364" t="inlineStr">
        <is>
          <t>@杨春玉</t>
        </is>
      </c>
      <c r="D364">
        <v>1</v>
      </c>
      <c r="E364"/>
      <c r="F364" t="inlineStr">
        <is>
          <t>@陈佳杰</t>
        </is>
      </c>
      <c r="G364">
        <v>1</v>
      </c>
      <c r="H364"/>
      <c r="I364">
        <v>7</v>
      </c>
      <c r="J364" t="inlineStr">
        <is>
          <t>Test editing a saved custom menu</t>
        </is>
      </c>
      <c r="K364" t="inlineStr">
        <is>
          <t>测试编辑已保存的自定义菜单</t>
        </is>
      </c>
      <c r="L364" s="2" t="str">
        <f>=HYPERLINK("https://atoms.dev/chat/bcd143f398494a77b61df5f81bf8dd5e", "https://atoms.dev/chat/bcd143f398494a77b61df5f81bf8dd5e")</f>
        <v>https://atoms.dev/chat/bcd143f398494a77b61df5f81bf8dd5e</v>
      </c>
      <c r="M364" s="2" t="str">
        <f>=HYPERLINK("https://890130-bcd143f398494a77b61df5f81bf8dd5e-latest-dev.dev.atoms.dev/", "https://890130-bcd143f398494a77b61df5f81bf8dd5e-latest-dev.dev.atoms.dev/")</f>
        <v>https://890130-bcd143f398494a77b61df5f81bf8dd5e-latest-dev.dev.atoms.dev/</v>
      </c>
      <c r="N364" s="2" t="str">
        <f>=HYPERLINK("http://press_test8@mgx.dev", "press_test8@mgx.dev")</f>
        <v>press_test8@mgx.dev</v>
      </c>
      <c r="O364" t="inlineStr">
        <is>
          <t>bcd143f398494a77b61df5f81bf8dd5e</t>
        </is>
      </c>
    </row>
    <row r="365" ht="25.5" customHeight="1">
      <c r="A365" t="inlineStr">
        <is>
          <t>MenuExpress</t>
        </is>
      </c>
      <c r="B365">
        <v>29</v>
      </c>
      <c r="C365" t="inlineStr">
        <is>
          <t>@杨春玉</t>
        </is>
      </c>
      <c r="D365">
        <v>1</v>
      </c>
      <c r="E365"/>
      <c r="F365" t="inlineStr">
        <is>
          <t>@陈佳杰</t>
        </is>
      </c>
      <c r="G365">
        <v>1</v>
      </c>
      <c r="H365"/>
      <c r="I365">
        <v>8</v>
      </c>
      <c r="J365" t="inlineStr">
        <is>
          <t>Test filter capability for restaurants by cuisine type</t>
        </is>
      </c>
      <c r="K365" t="inlineStr">
        <is>
          <t>测试按菜系筛选餐厅的功能</t>
        </is>
      </c>
      <c r="L365" s="2" t="str">
        <f>=HYPERLINK("https://atoms.dev/chat/bcd143f398494a77b61df5f81bf8dd5e", "https://atoms.dev/chat/bcd143f398494a77b61df5f81bf8dd5e")</f>
        <v>https://atoms.dev/chat/bcd143f398494a77b61df5f81bf8dd5e</v>
      </c>
      <c r="M365" s="2" t="str">
        <f>=HYPERLINK("https://890130-bcd143f398494a77b61df5f81bf8dd5e-latest-dev.dev.atoms.dev/", "https://890130-bcd143f398494a77b61df5f81bf8dd5e-latest-dev.dev.atoms.dev/")</f>
        <v>https://890130-bcd143f398494a77b61df5f81bf8dd5e-latest-dev.dev.atoms.dev/</v>
      </c>
      <c r="N365" s="2" t="str">
        <f>=HYPERLINK("http://press_test8@mgx.dev", "press_test8@mgx.dev")</f>
        <v>press_test8@mgx.dev</v>
      </c>
      <c r="O365" t="inlineStr">
        <is>
          <t>bcd143f398494a77b61df5f81bf8dd5e</t>
        </is>
      </c>
    </row>
    <row r="366" ht="25.5" customHeight="1">
      <c r="A366" t="inlineStr">
        <is>
          <t>MenuExpress</t>
        </is>
      </c>
      <c r="B366">
        <v>29</v>
      </c>
      <c r="C366" t="inlineStr">
        <is>
          <t>@杨春玉</t>
        </is>
      </c>
      <c r="D366">
        <v>1</v>
      </c>
      <c r="E366"/>
      <c r="F366" t="inlineStr">
        <is>
          <t>@陈佳杰</t>
        </is>
      </c>
      <c r="G366">
        <v>1</v>
      </c>
      <c r="H366"/>
      <c r="I366">
        <v>9</v>
      </c>
      <c r="J366" t="inlineStr">
        <is>
          <t>Test filter capability for restaurants by location</t>
        </is>
      </c>
      <c r="K366" t="inlineStr">
        <is>
          <t>测试按位置筛选餐厅的功能</t>
        </is>
      </c>
      <c r="L366" s="2" t="str">
        <f>=HYPERLINK("https://atoms.dev/chat/bcd143f398494a77b61df5f81bf8dd5e", "https://atoms.dev/chat/bcd143f398494a77b61df5f81bf8dd5e")</f>
        <v>https://atoms.dev/chat/bcd143f398494a77b61df5f81bf8dd5e</v>
      </c>
      <c r="M366" s="2" t="str">
        <f>=HYPERLINK("https://890130-bcd143f398494a77b61df5f81bf8dd5e-latest-dev.dev.atoms.dev/", "https://890130-bcd143f398494a77b61df5f81bf8dd5e-latest-dev.dev.atoms.dev/")</f>
        <v>https://890130-bcd143f398494a77b61df5f81bf8dd5e-latest-dev.dev.atoms.dev/</v>
      </c>
      <c r="N366" s="2" t="str">
        <f>=HYPERLINK("http://press_test8@mgx.dev", "press_test8@mgx.dev")</f>
        <v>press_test8@mgx.dev</v>
      </c>
      <c r="O366" t="inlineStr">
        <is>
          <t>bcd143f398494a77b61df5f81bf8dd5e</t>
        </is>
      </c>
    </row>
    <row r="367" ht="25.5" customHeight="1">
      <c r="A367" t="inlineStr">
        <is>
          <t>MenuExpress</t>
        </is>
      </c>
      <c r="B367">
        <v>29</v>
      </c>
      <c r="C367" t="inlineStr">
        <is>
          <t>@杨春玉</t>
        </is>
      </c>
      <c r="D367">
        <v>1</v>
      </c>
      <c r="E367"/>
      <c r="F367" t="inlineStr">
        <is>
          <t>@陈佳杰</t>
        </is>
      </c>
      <c r="G367">
        <v>1</v>
      </c>
      <c r="H367"/>
      <c r="I367">
        <v>10</v>
      </c>
      <c r="J367" t="inlineStr">
        <is>
          <t>Test restaurant browsing interface displays a list of local restaurants</t>
        </is>
      </c>
      <c r="K367" t="inlineStr">
        <is>
          <t>测试餐厅浏览界面展示本地餐厅列表</t>
        </is>
      </c>
      <c r="L367" s="2" t="str">
        <f>=HYPERLINK("https://atoms.dev/chat/bcd143f398494a77b61df5f81bf8dd5e", "https://atoms.dev/chat/bcd143f398494a77b61df5f81bf8dd5e")</f>
        <v>https://atoms.dev/chat/bcd143f398494a77b61df5f81bf8dd5e</v>
      </c>
      <c r="M367" s="2" t="str">
        <f>=HYPERLINK("https://890130-bcd143f398494a77b61df5f81bf8dd5e-latest-dev.dev.atoms.dev/", "https://890130-bcd143f398494a77b61df5f81bf8dd5e-latest-dev.dev.atoms.dev/")</f>
        <v>https://890130-bcd143f398494a77b61df5f81bf8dd5e-latest-dev.dev.atoms.dev/</v>
      </c>
      <c r="N367" s="2" t="str">
        <f>=HYPERLINK("http://press_test8@mgx.dev", "press_test8@mgx.dev")</f>
        <v>press_test8@mgx.dev</v>
      </c>
      <c r="O367" t="inlineStr">
        <is>
          <t>bcd143f398494a77b61df5f81bf8dd5e</t>
        </is>
      </c>
    </row>
    <row r="368" ht="25.5" customHeight="1">
      <c r="A368" t="inlineStr">
        <is>
          <t>MenuExpress</t>
        </is>
      </c>
      <c r="B368">
        <v>29</v>
      </c>
      <c r="C368" t="inlineStr">
        <is>
          <t>@杨春玉</t>
        </is>
      </c>
      <c r="D368">
        <v>1</v>
      </c>
      <c r="E368"/>
      <c r="F368" t="inlineStr">
        <is>
          <t>@陈佳杰</t>
        </is>
      </c>
      <c r="G368">
        <v>1</v>
      </c>
      <c r="H368"/>
      <c r="I368">
        <v>11</v>
      </c>
      <c r="J368" t="inlineStr">
        <is>
          <t>Test saving a custom menu</t>
        </is>
      </c>
      <c r="K368" t="inlineStr">
        <is>
          <t>测试保存自定义菜单</t>
        </is>
      </c>
      <c r="L368" s="2" t="str">
        <f>=HYPERLINK("https://atoms.dev/chat/bcd143f398494a77b61df5f81bf8dd5e", "https://atoms.dev/chat/bcd143f398494a77b61df5f81bf8dd5e")</f>
        <v>https://atoms.dev/chat/bcd143f398494a77b61df5f81bf8dd5e</v>
      </c>
      <c r="M368" s="2" t="str">
        <f>=HYPERLINK("https://890130-bcd143f398494a77b61df5f81bf8dd5e-latest-dev.dev.atoms.dev/", "https://890130-bcd143f398494a77b61df5f81bf8dd5e-latest-dev.dev.atoms.dev/")</f>
        <v>https://890130-bcd143f398494a77b61df5f81bf8dd5e-latest-dev.dev.atoms.dev/</v>
      </c>
      <c r="N368" s="2" t="str">
        <f>=HYPERLINK("http://press_test8@mgx.dev", "press_test8@mgx.dev")</f>
        <v>press_test8@mgx.dev</v>
      </c>
      <c r="O368" t="inlineStr">
        <is>
          <t>bcd143f398494a77b61df5f81bf8dd5e</t>
        </is>
      </c>
    </row>
    <row r="369" ht="25.5" customHeight="1">
      <c r="A369" t="inlineStr">
        <is>
          <t>MenuExpress</t>
        </is>
      </c>
      <c r="B369">
        <v>29</v>
      </c>
      <c r="C369" t="inlineStr">
        <is>
          <t>@杨春玉</t>
        </is>
      </c>
      <c r="D369">
        <v>1</v>
      </c>
      <c r="E369"/>
      <c r="F369" t="inlineStr">
        <is>
          <t>@陈佳杰</t>
        </is>
      </c>
      <c r="G369">
        <v>1</v>
      </c>
      <c r="H369"/>
      <c r="I369">
        <v>12</v>
      </c>
      <c r="J369" t="inlineStr">
        <is>
          <t>Test scheduling an order for future date and time</t>
        </is>
      </c>
      <c r="K369" t="inlineStr">
        <is>
          <t>测试预约未来日期和时间的订单</t>
        </is>
      </c>
      <c r="L369" s="2" t="str">
        <f>=HYPERLINK("https://atoms.dev/chat/bcd143f398494a77b61df5f81bf8dd5e", "https://atoms.dev/chat/bcd143f398494a77b61df5f81bf8dd5e")</f>
        <v>https://atoms.dev/chat/bcd143f398494a77b61df5f81bf8dd5e</v>
      </c>
      <c r="M369" s="2" t="str">
        <f>=HYPERLINK("https://890130-bcd143f398494a77b61df5f81bf8dd5e-latest-dev.dev.atoms.dev/", "https://890130-bcd143f398494a77b61df5f81bf8dd5e-latest-dev.dev.atoms.dev/")</f>
        <v>https://890130-bcd143f398494a77b61df5f81bf8dd5e-latest-dev.dev.atoms.dev/</v>
      </c>
      <c r="N369" s="2" t="str">
        <f>=HYPERLINK("http://press_test8@mgx.dev", "press_test8@mgx.dev")</f>
        <v>press_test8@mgx.dev</v>
      </c>
      <c r="O369" t="inlineStr">
        <is>
          <t>bcd143f398494a77b61df5f81bf8dd5e</t>
        </is>
      </c>
    </row>
    <row r="370" ht="25.5" customHeight="1">
      <c r="A370" t="inlineStr">
        <is>
          <t>MenuExpress</t>
        </is>
      </c>
      <c r="B370">
        <v>29</v>
      </c>
      <c r="C370" t="inlineStr">
        <is>
          <t>@杨春玉</t>
        </is>
      </c>
      <c r="D370">
        <v>1</v>
      </c>
      <c r="E370"/>
      <c r="F370" t="inlineStr">
        <is>
          <t>@陈佳杰</t>
        </is>
      </c>
      <c r="G370">
        <v>1</v>
      </c>
      <c r="H370"/>
      <c r="I370">
        <v>13</v>
      </c>
      <c r="J370" t="inlineStr">
        <is>
          <t>Verify address input functionality for delivery option</t>
        </is>
      </c>
      <c r="K370" t="inlineStr">
        <is>
          <t>验证配送选项中的地址输入功能</t>
        </is>
      </c>
      <c r="L370" s="2" t="str">
        <f>=HYPERLINK("https://atoms.dev/chat/bcd143f398494a77b61df5f81bf8dd5e", "https://atoms.dev/chat/bcd143f398494a77b61df5f81bf8dd5e")</f>
        <v>https://atoms.dev/chat/bcd143f398494a77b61df5f81bf8dd5e</v>
      </c>
      <c r="M370" s="2" t="str">
        <f>=HYPERLINK("https://890130-bcd143f398494a77b61df5f81bf8dd5e-latest-dev.dev.atoms.dev/", "https://890130-bcd143f398494a77b61df5f81bf8dd5e-latest-dev.dev.atoms.dev/")</f>
        <v>https://890130-bcd143f398494a77b61df5f81bf8dd5e-latest-dev.dev.atoms.dev/</v>
      </c>
      <c r="N370" s="2" t="str">
        <f>=HYPERLINK("http://press_test8@mgx.dev", "press_test8@mgx.dev")</f>
        <v>press_test8@mgx.dev</v>
      </c>
      <c r="O370" t="inlineStr">
        <is>
          <t>bcd143f398494a77b61df5f81bf8dd5e</t>
        </is>
      </c>
    </row>
    <row r="371" ht="25.5" customHeight="1">
      <c r="A371" t="inlineStr">
        <is>
          <t>MenuExpress</t>
        </is>
      </c>
      <c r="B371">
        <v>29</v>
      </c>
      <c r="C371" t="inlineStr">
        <is>
          <t>@杨春玉</t>
        </is>
      </c>
      <c r="D371">
        <v>1</v>
      </c>
      <c r="E371"/>
      <c r="F371" t="inlineStr">
        <is>
          <t>@陈佳杰</t>
        </is>
      </c>
      <c r="G371">
        <v>1</v>
      </c>
      <c r="H371"/>
      <c r="I371">
        <v>14</v>
      </c>
      <c r="J371" t="inlineStr">
        <is>
          <t>Verify filter capability for restaurants by rating</t>
        </is>
      </c>
      <c r="K371" t="inlineStr">
        <is>
          <t>测试按评分筛选餐厅的功能</t>
        </is>
      </c>
      <c r="L371" s="2" t="str">
        <f>=HYPERLINK("https://atoms.dev/chat/bcd143f398494a77b61df5f81bf8dd5e", "https://atoms.dev/chat/bcd143f398494a77b61df5f81bf8dd5e")</f>
        <v>https://atoms.dev/chat/bcd143f398494a77b61df5f81bf8dd5e</v>
      </c>
      <c r="M371" s="2" t="str">
        <f>=HYPERLINK("https://890130-bcd143f398494a77b61df5f81bf8dd5e-latest-dev.dev.atoms.dev/", "https://890130-bcd143f398494a77b61df5f81bf8dd5e-latest-dev.dev.atoms.dev/")</f>
        <v>https://890130-bcd143f398494a77b61df5f81bf8dd5e-latest-dev.dev.atoms.dev/</v>
      </c>
      <c r="N371" s="2" t="str">
        <f>=HYPERLINK("http://press_test8@mgx.dev", "press_test8@mgx.dev")</f>
        <v>press_test8@mgx.dev</v>
      </c>
      <c r="O371" t="inlineStr">
        <is>
          <t>bcd143f398494a77b61df5f81bf8dd5e</t>
        </is>
      </c>
    </row>
    <row r="372" ht="25.5" customHeight="1">
      <c r="A372" t="inlineStr">
        <is>
          <t>MenuExpress</t>
        </is>
      </c>
      <c r="B372">
        <v>29</v>
      </c>
      <c r="C372" t="inlineStr">
        <is>
          <t>@杨春玉</t>
        </is>
      </c>
      <c r="D372">
        <v>1</v>
      </c>
      <c r="E372"/>
      <c r="F372" t="inlineStr">
        <is>
          <t>@陈佳杰</t>
        </is>
      </c>
      <c r="G372">
        <v>1</v>
      </c>
      <c r="H372"/>
      <c r="I372">
        <v>15</v>
      </c>
      <c r="J372" t="inlineStr">
        <is>
          <t>Verify order processing system validates item availability</t>
        </is>
      </c>
      <c r="K372" t="inlineStr">
        <is>
          <t>验证订单处理系统验证菜品库存</t>
        </is>
      </c>
      <c r="L372" s="2" t="str">
        <f>=HYPERLINK("https://atoms.dev/chat/bcd143f398494a77b61df5f81bf8dd5e", "https://atoms.dev/chat/bcd143f398494a77b61df5f81bf8dd5e")</f>
        <v>https://atoms.dev/chat/bcd143f398494a77b61df5f81bf8dd5e</v>
      </c>
      <c r="M372" s="2" t="str">
        <f>=HYPERLINK("https://890130-bcd143f398494a77b61df5f81bf8dd5e-latest-dev.dev.atoms.dev/", "https://890130-bcd143f398494a77b61df5f81bf8dd5e-latest-dev.dev.atoms.dev/")</f>
        <v>https://890130-bcd143f398494a77b61df5f81bf8dd5e-latest-dev.dev.atoms.dev/</v>
      </c>
      <c r="N372" s="2" t="str">
        <f>=HYPERLINK("http://press_test8@mgx.dev", "press_test8@mgx.dev")</f>
        <v>press_test8@mgx.dev</v>
      </c>
      <c r="O372" t="inlineStr">
        <is>
          <t>bcd143f398494a77b61df5f81bf8dd5e</t>
        </is>
      </c>
    </row>
    <row r="373" ht="25.5" customHeight="1">
      <c r="A373" t="inlineStr">
        <is>
          <t>MenuExpress</t>
        </is>
      </c>
      <c r="B373">
        <v>29</v>
      </c>
      <c r="C373" t="inlineStr">
        <is>
          <t>@杨春玉</t>
        </is>
      </c>
      <c r="D373">
        <v>1</v>
      </c>
      <c r="E373"/>
      <c r="F373" t="inlineStr">
        <is>
          <t>@陈佳杰</t>
        </is>
      </c>
      <c r="G373">
        <v>1</v>
      </c>
      <c r="H373"/>
      <c r="I373">
        <v>16</v>
      </c>
      <c r="J373" t="inlineStr">
        <is>
          <t>Verify presence of delivery and pickup options in the order scheduling interface</t>
        </is>
      </c>
      <c r="K373" t="inlineStr">
        <is>
          <t>验证订单预约界面存在配送和到店自取选项</t>
        </is>
      </c>
      <c r="L373" s="2" t="str">
        <f>=HYPERLINK("https://atoms.dev/chat/bcd143f398494a77b61df5f81bf8dd5e", "https://atoms.dev/chat/bcd143f398494a77b61df5f81bf8dd5e")</f>
        <v>https://atoms.dev/chat/bcd143f398494a77b61df5f81bf8dd5e</v>
      </c>
      <c r="M373" s="2" t="str">
        <f>=HYPERLINK("https://890130-bcd143f398494a77b61df5f81bf8dd5e-latest-dev.dev.atoms.dev/", "https://890130-bcd143f398494a77b61df5f81bf8dd5e-latest-dev.dev.atoms.dev/")</f>
        <v>https://890130-bcd143f398494a77b61df5f81bf8dd5e-latest-dev.dev.atoms.dev/</v>
      </c>
      <c r="N373" s="2" t="str">
        <f>=HYPERLINK("http://press_test8@mgx.dev", "press_test8@mgx.dev")</f>
        <v>press_test8@mgx.dev</v>
      </c>
      <c r="O373" t="inlineStr">
        <is>
          <t>bcd143f398494a77b61df5f81bf8dd5e</t>
        </is>
      </c>
    </row>
    <row r="374" ht="25.5" customHeight="1">
      <c r="A374" t="inlineStr">
        <is>
          <t>MenuExpress</t>
        </is>
      </c>
      <c r="B374">
        <v>29</v>
      </c>
      <c r="C374" t="inlineStr">
        <is>
          <t>@杨春玉</t>
        </is>
      </c>
      <c r="D374">
        <v>1</v>
      </c>
      <c r="E374"/>
      <c r="F374" t="inlineStr">
        <is>
          <t>@陈佳杰</t>
        </is>
      </c>
      <c r="G374">
        <v>1</v>
      </c>
      <c r="H374"/>
      <c r="I374">
        <v>17</v>
      </c>
      <c r="J374" t="inlineStr">
        <is>
          <t>Verify removing a dish from the personalized menu</t>
        </is>
      </c>
      <c r="K374" t="inlineStr">
        <is>
          <t>测试从个性化菜单中移除菜品</t>
        </is>
      </c>
      <c r="L374" s="2" t="str">
        <f>=HYPERLINK("https://atoms.dev/chat/bcd143f398494a77b61df5f81bf8dd5e", "https://atoms.dev/chat/bcd143f398494a77b61df5f81bf8dd5e")</f>
        <v>https://atoms.dev/chat/bcd143f398494a77b61df5f81bf8dd5e</v>
      </c>
      <c r="M374" s="2" t="str">
        <f>=HYPERLINK("https://890130-bcd143f398494a77b61df5f81bf8dd5e-latest-dev.dev.atoms.dev/", "https://890130-bcd143f398494a77b61df5f81bf8dd5e-latest-dev.dev.atoms.dev/")</f>
        <v>https://890130-bcd143f398494a77b61df5f81bf8dd5e-latest-dev.dev.atoms.dev/</v>
      </c>
      <c r="N374" s="2" t="str">
        <f>=HYPERLINK("http://press_test8@mgx.dev", "press_test8@mgx.dev")</f>
        <v>press_test8@mgx.dev</v>
      </c>
      <c r="O374" t="inlineStr">
        <is>
          <t>bcd143f398494a77b61df5f81bf8dd5e</t>
        </is>
      </c>
    </row>
    <row r="375" ht="25.5" customHeight="1">
      <c r="A375" t="inlineStr">
        <is>
          <t>MenuExpress</t>
        </is>
      </c>
      <c r="B375">
        <v>29</v>
      </c>
      <c r="C375" t="inlineStr">
        <is>
          <t>@杨春玉</t>
        </is>
      </c>
      <c r="D375">
        <v>1</v>
      </c>
      <c r="E375"/>
      <c r="F375" t="inlineStr">
        <is>
          <t>@陈佳杰</t>
        </is>
      </c>
      <c r="G375">
        <v>1</v>
      </c>
      <c r="H375"/>
      <c r="I375">
        <v>18</v>
      </c>
      <c r="J375" t="inlineStr">
        <is>
          <t>Verify retrieving a previously saved custom menu</t>
        </is>
      </c>
      <c r="K375" t="inlineStr">
        <is>
          <t>测试调取之前保存的自定义菜单</t>
        </is>
      </c>
      <c r="L375" s="2" t="str">
        <f>=HYPERLINK("https://atoms.dev/chat/bcd143f398494a77b61df5f81bf8dd5e", "https://atoms.dev/chat/bcd143f398494a77b61df5f81bf8dd5e")</f>
        <v>https://atoms.dev/chat/bcd143f398494a77b61df5f81bf8dd5e</v>
      </c>
      <c r="M375" s="2" t="str">
        <f>=HYPERLINK("https://890130-bcd143f398494a77b61df5f81bf8dd5e-latest-dev.dev.atoms.dev/", "https://890130-bcd143f398494a77b61df5f81bf8dd5e-latest-dev.dev.atoms.dev/")</f>
        <v>https://890130-bcd143f398494a77b61df5f81bf8dd5e-latest-dev.dev.atoms.dev/</v>
      </c>
      <c r="N375" s="2" t="str">
        <f>=HYPERLINK("http://press_test8@mgx.dev", "press_test8@mgx.dev")</f>
        <v>press_test8@mgx.dev</v>
      </c>
      <c r="O375" t="inlineStr">
        <is>
          <t>bcd143f398494a77b61df5f81bf8dd5e</t>
        </is>
      </c>
    </row>
    <row r="376" ht="25.5" customHeight="1">
      <c r="A376" t="inlineStr">
        <is>
          <t>MenuExpress</t>
        </is>
      </c>
      <c r="B376">
        <v>29</v>
      </c>
      <c r="C376" t="inlineStr">
        <is>
          <t>@杨春玉</t>
        </is>
      </c>
      <c r="D376">
        <v>1</v>
      </c>
      <c r="E376"/>
      <c r="F376" t="inlineStr">
        <is>
          <t>@陈佳杰</t>
        </is>
      </c>
      <c r="G376">
        <v>1</v>
      </c>
      <c r="H376"/>
      <c r="I376">
        <v>19</v>
      </c>
      <c r="J376" t="inlineStr">
        <is>
          <t>Verify search functionality for restaurants by name</t>
        </is>
      </c>
      <c r="K376" t="inlineStr">
        <is>
          <t>测试按名称搜索餐厅的功能</t>
        </is>
      </c>
      <c r="L376" s="2" t="str">
        <f>=HYPERLINK("https://atoms.dev/chat/bcd143f398494a77b61df5f81bf8dd5e", "https://atoms.dev/chat/bcd143f398494a77b61df5f81bf8dd5e")</f>
        <v>https://atoms.dev/chat/bcd143f398494a77b61df5f81bf8dd5e</v>
      </c>
      <c r="M376" s="2" t="str">
        <f>=HYPERLINK("https://890130-bcd143f398494a77b61df5f81bf8dd5e-latest-dev.dev.atoms.dev/", "https://890130-bcd143f398494a77b61df5f81bf8dd5e-latest-dev.dev.atoms.dev/")</f>
        <v>https://890130-bcd143f398494a77b61df5f81bf8dd5e-latest-dev.dev.atoms.dev/</v>
      </c>
      <c r="N376" s="2" t="str">
        <f>=HYPERLINK("http://press_test8@mgx.dev", "press_test8@mgx.dev")</f>
        <v>press_test8@mgx.dev</v>
      </c>
      <c r="O376" t="inlineStr">
        <is>
          <t>bcd143f398494a77b61df5f81bf8dd5e</t>
        </is>
      </c>
    </row>
    <row r="377" ht="25.5" customHeight="1">
      <c r="A377" t="inlineStr">
        <is>
          <t>MenuExpress</t>
        </is>
      </c>
      <c r="B377">
        <v>29</v>
      </c>
      <c r="C377" t="inlineStr">
        <is>
          <t>@杨春玉</t>
        </is>
      </c>
      <c r="D377">
        <v>1</v>
      </c>
      <c r="E377"/>
      <c r="F377" t="inlineStr">
        <is>
          <t>@陈佳杰</t>
        </is>
      </c>
      <c r="G377">
        <v>1</v>
      </c>
      <c r="H377"/>
      <c r="I377">
        <v>20</v>
      </c>
      <c r="J377" t="inlineStr">
        <is>
          <t>Verify that dish prices are correctly displayed and updated with quantity changes</t>
        </is>
      </c>
      <c r="K377" t="inlineStr">
        <is>
          <t>验证菜品价格正确展示且随数量变化更新</t>
        </is>
      </c>
      <c r="L377" s="2" t="str">
        <f>=HYPERLINK("https://atoms.dev/chat/bcd143f398494a77b61df5f81bf8dd5e", "https://atoms.dev/chat/bcd143f398494a77b61df5f81bf8dd5e")</f>
        <v>https://atoms.dev/chat/bcd143f398494a77b61df5f81bf8dd5e</v>
      </c>
      <c r="M377" s="2" t="str">
        <f>=HYPERLINK("https://890130-bcd143f398494a77b61df5f81bf8dd5e-latest-dev.dev.atoms.dev/", "https://890130-bcd143f398494a77b61df5f81bf8dd5e-latest-dev.dev.atoms.dev/")</f>
        <v>https://890130-bcd143f398494a77b61df5f81bf8dd5e-latest-dev.dev.atoms.dev/</v>
      </c>
      <c r="N377" s="2" t="str">
        <f>=HYPERLINK("http://press_test8@mgx.dev", "press_test8@mgx.dev")</f>
        <v>press_test8@mgx.dev</v>
      </c>
      <c r="O377" t="inlineStr">
        <is>
          <t>bcd143f398494a77b61df5f81bf8dd5e</t>
        </is>
      </c>
    </row>
    <row r="378" ht="25.5" customHeight="1">
      <c r="A378" t="inlineStr">
        <is>
          <t>Mini Shop Display</t>
        </is>
      </c>
      <c r="B378">
        <v>30</v>
      </c>
      <c r="C378" t="inlineStr">
        <is>
          <t>@杨春玉</t>
        </is>
      </c>
      <c r="D378">
        <v>0</v>
      </c>
      <c r="E378" t="inlineStr">
        <is>
          <t>不能同时应用多个分类筛选条件</t>
        </is>
      </c>
      <c r="F378" t="inlineStr">
        <is>
          <t>@陈佳杰</t>
        </is>
      </c>
      <c r="G378">
        <v>0</v>
      </c>
      <c r="H378" t="inlineStr">
        <is>
          <t>不能同时应用多个分类筛选条件</t>
        </is>
      </c>
      <c r="I378">
        <v>1</v>
      </c>
      <c r="J378" t="inlineStr">
        <is>
          <t>Check that multiple category filters can be applied simultaneously</t>
        </is>
      </c>
      <c r="K378" t="inlineStr">
        <is>
          <t>检查可同时应用多个分类筛选条件</t>
        </is>
      </c>
      <c r="L378" s="2" t="str">
        <f>=HYPERLINK("http://pre.mgx.dev/chat/12f639cae49c4921b0569d925e16b380", "http://pre.mgx.dev/chat/12f639cae49c4921b0569d925e16b380")</f>
        <v>http://pre.mgx.dev/chat/12f639cae49c4921b0569d925e16b380</v>
      </c>
      <c r="M378" s="2" t="str">
        <f>=HYPERLINK("", "https://45750-12f639cae49c4921b0569d925e16b380-3-latest.app.beta.mgx.dev")</f>
        <v>https://45750-12f639cae49c4921b0569d925e16b380-3-latest.app.beta.mgx.dev</v>
      </c>
      <c r="N378" s="2" t="str">
        <f>=HYPERLINK("mailto:eval_40@auto.com", "eval_40@auto.com")</f>
        <v>eval_40@auto.com</v>
      </c>
      <c r="O378" t="inlineStr">
        <is>
          <t>12f639cae49c4921b0569d925e16b380</t>
        </is>
      </c>
    </row>
    <row r="379" ht="25.5" customHeight="1">
      <c r="A379" t="inlineStr">
        <is>
          <t>Mini Shop Display</t>
        </is>
      </c>
      <c r="B379">
        <v>30</v>
      </c>
      <c r="C379" t="inlineStr">
        <is>
          <t>@杨春玉</t>
        </is>
      </c>
      <c r="D379">
        <v>1</v>
      </c>
      <c r="E379"/>
      <c r="F379" t="inlineStr">
        <is>
          <t>@陈佳杰</t>
        </is>
      </c>
      <c r="G379">
        <v>1</v>
      </c>
      <c r="H379"/>
      <c r="I379">
        <v>2</v>
      </c>
      <c r="J379" t="inlineStr">
        <is>
          <t>Check that price tags display the correct currency symbol</t>
        </is>
      </c>
      <c r="K379" t="inlineStr">
        <is>
          <t>检查价格标签展示正确的货币符号</t>
        </is>
      </c>
      <c r="L379" s="2" t="str">
        <f>=HYPERLINK("http://pre.mgx.dev/chat/12f639cae49c4921b0569d925e16b380", "http://pre.mgx.dev/chat/12f639cae49c4921b0569d925e16b380")</f>
        <v>http://pre.mgx.dev/chat/12f639cae49c4921b0569d925e16b380</v>
      </c>
      <c r="M379" s="2" t="str">
        <f>=HYPERLINK("", "https://45750-12f639cae49c4921b0569d925e16b380-3-latest.app.beta.mgx.dev")</f>
        <v>https://45750-12f639cae49c4921b0569d925e16b380-3-latest.app.beta.mgx.dev</v>
      </c>
      <c r="N379" s="2" t="str">
        <f>=HYPERLINK("mailto:eval_40@auto.com", "eval_40@auto.com")</f>
        <v>eval_40@auto.com</v>
      </c>
      <c r="O379" t="inlineStr">
        <is>
          <t>12f639cae49c4921b0569d925e16b380</t>
        </is>
      </c>
    </row>
    <row r="380" ht="25.5" customHeight="1">
      <c r="A380" t="inlineStr">
        <is>
          <t>Mini Shop Display</t>
        </is>
      </c>
      <c r="B380">
        <v>30</v>
      </c>
      <c r="C380" t="inlineStr">
        <is>
          <t>@杨春玉</t>
        </is>
      </c>
      <c r="D380">
        <v>1</v>
      </c>
      <c r="E380"/>
      <c r="F380" t="inlineStr">
        <is>
          <t>@陈佳杰</t>
        </is>
      </c>
      <c r="G380">
        <v>1</v>
      </c>
      <c r="H380"/>
      <c r="I380">
        <v>3</v>
      </c>
      <c r="J380" t="inlineStr">
        <is>
          <t>Check that product names are visible and accurate for all items</t>
        </is>
      </c>
      <c r="K380" t="inlineStr">
        <is>
          <t>检查所有商品的名称可见且准确</t>
        </is>
      </c>
      <c r="L380" s="2" t="str">
        <f>=HYPERLINK("http://pre.mgx.dev/chat/12f639cae49c4921b0569d925e16b380", "http://pre.mgx.dev/chat/12f639cae49c4921b0569d925e16b380")</f>
        <v>http://pre.mgx.dev/chat/12f639cae49c4921b0569d925e16b380</v>
      </c>
      <c r="M380" s="2" t="str">
        <f>=HYPERLINK("", "https://45750-12f639cae49c4921b0569d925e16b380-3-latest.app.beta.mgx.dev")</f>
        <v>https://45750-12f639cae49c4921b0569d925e16b380-3-latest.app.beta.mgx.dev</v>
      </c>
      <c r="N380" s="2" t="str">
        <f>=HYPERLINK("mailto:eval_40@auto.com", "eval_40@auto.com")</f>
        <v>eval_40@auto.com</v>
      </c>
      <c r="O380" t="inlineStr">
        <is>
          <t>12f639cae49c4921b0569d925e16b380</t>
        </is>
      </c>
    </row>
    <row r="381" ht="25.5" customHeight="1">
      <c r="A381" t="inlineStr">
        <is>
          <t>Mini Shop Display</t>
        </is>
      </c>
      <c r="B381">
        <v>30</v>
      </c>
      <c r="C381" t="inlineStr">
        <is>
          <t>@杨春玉</t>
        </is>
      </c>
      <c r="D381">
        <v>1</v>
      </c>
      <c r="E381"/>
      <c r="F381" t="inlineStr">
        <is>
          <t>@陈佳杰</t>
        </is>
      </c>
      <c r="G381">
        <v>1</v>
      </c>
      <c r="H381"/>
      <c r="I381">
        <v>4</v>
      </c>
      <c r="J381" t="inlineStr">
        <is>
          <t>Check that the product detail page displays the correct product name</t>
        </is>
      </c>
      <c r="K381" t="inlineStr">
        <is>
          <t>检查商品详情页展示正确的商品名称</t>
        </is>
      </c>
      <c r="L381" s="2" t="str">
        <f>=HYPERLINK("http://pre.mgx.dev/chat/12f639cae49c4921b0569d925e16b380", "http://pre.mgx.dev/chat/12f639cae49c4921b0569d925e16b380")</f>
        <v>http://pre.mgx.dev/chat/12f639cae49c4921b0569d925e16b380</v>
      </c>
      <c r="M381" s="2" t="str">
        <f>=HYPERLINK("", "https://45750-12f639cae49c4921b0569d925e16b380-3-latest.app.beta.mgx.dev")</f>
        <v>https://45750-12f639cae49c4921b0569d925e16b380-3-latest.app.beta.mgx.dev</v>
      </c>
      <c r="N381" s="2" t="str">
        <f>=HYPERLINK("mailto:eval_40@auto.com", "eval_40@auto.com")</f>
        <v>eval_40@auto.com</v>
      </c>
      <c r="O381" t="inlineStr">
        <is>
          <t>12f639cae49c4921b0569d925e16b380</t>
        </is>
      </c>
    </row>
    <row r="382" ht="25.5" customHeight="1">
      <c r="A382" t="inlineStr">
        <is>
          <t>Mini Shop Display</t>
        </is>
      </c>
      <c r="B382">
        <v>30</v>
      </c>
      <c r="C382" t="inlineStr">
        <is>
          <t>@杨春玉</t>
        </is>
      </c>
      <c r="D382">
        <v>1</v>
      </c>
      <c r="E382"/>
      <c r="F382" t="inlineStr">
        <is>
          <t>@陈佳杰</t>
        </is>
      </c>
      <c r="G382">
        <v>1</v>
      </c>
      <c r="H382"/>
      <c r="I382">
        <v>5</v>
      </c>
      <c r="J382" t="inlineStr">
        <is>
          <t>Check that users can navigate through multiple images in the preview mode if available</t>
        </is>
      </c>
      <c r="K382" t="inlineStr">
        <is>
          <t>检查若有提供多图预览，用户可在预览模式中切换查看</t>
        </is>
      </c>
      <c r="L382" s="2" t="str">
        <f>=HYPERLINK("http://pre.mgx.dev/chat/12f639cae49c4921b0569d925e16b380", "http://pre.mgx.dev/chat/12f639cae49c4921b0569d925e16b380")</f>
        <v>http://pre.mgx.dev/chat/12f639cae49c4921b0569d925e16b380</v>
      </c>
      <c r="M382" s="2" t="str">
        <f>=HYPERLINK("", "https://45750-12f639cae49c4921b0569d925e16b380-3-latest.app.beta.mgx.dev")</f>
        <v>https://45750-12f639cae49c4921b0569d925e16b380-3-latest.app.beta.mgx.dev</v>
      </c>
      <c r="N382" s="2" t="str">
        <f>=HYPERLINK("mailto:eval_40@auto.com", "eval_40@auto.com")</f>
        <v>eval_40@auto.com</v>
      </c>
      <c r="O382" t="inlineStr">
        <is>
          <t>12f639cae49c4921b0569d925e16b380</t>
        </is>
      </c>
    </row>
    <row r="383" ht="25.5" customHeight="1">
      <c r="A383" t="inlineStr">
        <is>
          <t>Mini Shop Display</t>
        </is>
      </c>
      <c r="B383">
        <v>30</v>
      </c>
      <c r="C383" t="inlineStr">
        <is>
          <t>@杨春玉</t>
        </is>
      </c>
      <c r="D383">
        <v>0</v>
      </c>
      <c r="E383" t="inlineStr">
        <is>
          <t>只有一张照片</t>
        </is>
      </c>
      <c r="F383" t="inlineStr">
        <is>
          <t>@陈佳杰</t>
        </is>
      </c>
      <c r="G383">
        <v>1</v>
      </c>
      <c r="H383"/>
      <c r="I383">
        <v>6</v>
      </c>
      <c r="J383" t="inlineStr">
        <is>
          <t>Confirm that additional images are available and can be viewed on the detail page</t>
        </is>
      </c>
      <c r="K383" t="inlineStr">
        <is>
          <t>确认详情页提供多张图片且可查看</t>
        </is>
      </c>
      <c r="L383" s="2" t="str">
        <f>=HYPERLINK("http://pre.mgx.dev/chat/12f639cae49c4921b0569d925e16b380", "http://pre.mgx.dev/chat/12f639cae49c4921b0569d925e16b380")</f>
        <v>http://pre.mgx.dev/chat/12f639cae49c4921b0569d925e16b380</v>
      </c>
      <c r="M383" s="2" t="str">
        <f>=HYPERLINK("", "https://45750-12f639cae49c4921b0569d925e16b380-3-latest.app.beta.mgx.dev")</f>
        <v>https://45750-12f639cae49c4921b0569d925e16b380-3-latest.app.beta.mgx.dev</v>
      </c>
      <c r="N383" s="2" t="str">
        <f>=HYPERLINK("mailto:eval_40@auto.com", "eval_40@auto.com")</f>
        <v>eval_40@auto.com</v>
      </c>
      <c r="O383" t="inlineStr">
        <is>
          <t>12f639cae49c4921b0569d925e16b380</t>
        </is>
      </c>
    </row>
    <row r="384" ht="25.5" customHeight="1">
      <c r="A384" t="inlineStr">
        <is>
          <t>Mini Shop Display</t>
        </is>
      </c>
      <c r="B384">
        <v>30</v>
      </c>
      <c r="C384" t="inlineStr">
        <is>
          <t>@杨春玉</t>
        </is>
      </c>
      <c r="D384">
        <v>1</v>
      </c>
      <c r="E384"/>
      <c r="F384" t="inlineStr">
        <is>
          <t>@陈佳杰</t>
        </is>
      </c>
      <c r="G384">
        <v>1</v>
      </c>
      <c r="H384"/>
      <c r="I384">
        <v>7</v>
      </c>
      <c r="J384" t="inlineStr">
        <is>
          <t>Confirm that category tags are present for each product</t>
        </is>
      </c>
      <c r="K384" t="inlineStr">
        <is>
          <t>确认每个商品均配有分类标签</t>
        </is>
      </c>
      <c r="L384" s="2" t="str">
        <f>=HYPERLINK("http://pre.mgx.dev/chat/12f639cae49c4921b0569d925e16b380", "http://pre.mgx.dev/chat/12f639cae49c4921b0569d925e16b380")</f>
        <v>http://pre.mgx.dev/chat/12f639cae49c4921b0569d925e16b380</v>
      </c>
      <c r="M384" s="2" t="str">
        <f>=HYPERLINK("", "https://45750-12f639cae49c4921b0569d925e16b380-3-latest.app.beta.mgx.dev")</f>
        <v>https://45750-12f639cae49c4921b0569d925e16b380-3-latest.app.beta.mgx.dev</v>
      </c>
      <c r="N384" s="2" t="str">
        <f>=HYPERLINK("mailto:eval_40@auto.com", "eval_40@auto.com")</f>
        <v>eval_40@auto.com</v>
      </c>
      <c r="O384" t="inlineStr">
        <is>
          <t>12f639cae49c4921b0569d925e16b380</t>
        </is>
      </c>
    </row>
    <row r="385" ht="25.5" customHeight="1">
      <c r="A385" t="inlineStr">
        <is>
          <t>Mini Shop Display</t>
        </is>
      </c>
      <c r="B385">
        <v>30</v>
      </c>
      <c r="C385" t="inlineStr">
        <is>
          <t>@杨春玉</t>
        </is>
      </c>
      <c r="D385">
        <v>1</v>
      </c>
      <c r="E385"/>
      <c r="F385" t="inlineStr">
        <is>
          <t>@陈佳杰</t>
        </is>
      </c>
      <c r="G385">
        <v>1</v>
      </c>
      <c r="H385"/>
      <c r="I385">
        <v>8</v>
      </c>
      <c r="J385" t="inlineStr">
        <is>
          <t>Confirm that the total number of products displayed matches the expected count (up to 10)</t>
        </is>
      </c>
      <c r="K385" t="inlineStr">
        <is>
          <t>确认展示的商品总数符合预期（最多10个）</t>
        </is>
      </c>
      <c r="L385" s="2" t="str">
        <f>=HYPERLINK("http://pre.mgx.dev/chat/12f639cae49c4921b0569d925e16b380", "http://pre.mgx.dev/chat/12f639cae49c4921b0569d925e16b380")</f>
        <v>http://pre.mgx.dev/chat/12f639cae49c4921b0569d925e16b380</v>
      </c>
      <c r="M385" s="2" t="str">
        <f>=HYPERLINK("", "https://45750-12f639cae49c4921b0569d925e16b380-3-latest.app.beta.mgx.dev")</f>
        <v>https://45750-12f639cae49c4921b0569d925e16b380-3-latest.app.beta.mgx.dev</v>
      </c>
      <c r="N385" s="2" t="str">
        <f>=HYPERLINK("mailto:eval_40@auto.com", "eval_40@auto.com")</f>
        <v>eval_40@auto.com</v>
      </c>
      <c r="O385" t="inlineStr">
        <is>
          <t>12f639cae49c4921b0569d925e16b380</t>
        </is>
      </c>
    </row>
    <row r="386" ht="25.5" customHeight="1">
      <c r="A386" t="inlineStr">
        <is>
          <t>Mini Shop Display</t>
        </is>
      </c>
      <c r="B386">
        <v>30</v>
      </c>
      <c r="C386" t="inlineStr">
        <is>
          <t>@杨春玉</t>
        </is>
      </c>
      <c r="D386">
        <v>1</v>
      </c>
      <c r="E386"/>
      <c r="F386" t="inlineStr">
        <is>
          <t>@陈佳杰</t>
        </is>
      </c>
      <c r="G386">
        <v>1</v>
      </c>
      <c r="H386"/>
      <c r="I386">
        <v>9</v>
      </c>
      <c r="J386" t="inlineStr">
        <is>
          <t>Ensure price tags are formatted consistently across all products</t>
        </is>
      </c>
      <c r="K386" t="inlineStr">
        <is>
          <t>确保所有商品的价格标签格式统一</t>
        </is>
      </c>
      <c r="L386" s="2" t="str">
        <f>=HYPERLINK("http://pre.mgx.dev/chat/12f639cae49c4921b0569d925e16b380", "http://pre.mgx.dev/chat/12f639cae49c4921b0569d925e16b380")</f>
        <v>http://pre.mgx.dev/chat/12f639cae49c4921b0569d925e16b380</v>
      </c>
      <c r="M386" s="2" t="str">
        <f>=HYPERLINK("", "https://45750-12f639cae49c4921b0569d925e16b380-3-latest.app.beta.mgx.dev")</f>
        <v>https://45750-12f639cae49c4921b0569d925e16b380-3-latest.app.beta.mgx.dev</v>
      </c>
      <c r="N386" s="2" t="str">
        <f>=HYPERLINK("mailto:eval_40@auto.com", "eval_40@auto.com")</f>
        <v>eval_40@auto.com</v>
      </c>
      <c r="O386" t="inlineStr">
        <is>
          <t>12f639cae49c4921b0569d925e16b380</t>
        </is>
      </c>
    </row>
    <row r="387" ht="25.5" customHeight="1">
      <c r="A387" t="inlineStr">
        <is>
          <t>Mini Shop Display</t>
        </is>
      </c>
      <c r="B387">
        <v>30</v>
      </c>
      <c r="C387" t="inlineStr">
        <is>
          <t>@杨春玉</t>
        </is>
      </c>
      <c r="D387">
        <v>1</v>
      </c>
      <c r="E387"/>
      <c r="F387" t="inlineStr">
        <is>
          <t>@陈佳杰</t>
        </is>
      </c>
      <c r="G387">
        <v>1</v>
      </c>
      <c r="H387"/>
      <c r="I387">
        <v>10</v>
      </c>
      <c r="J387" t="inlineStr">
        <is>
          <t>Ensure product descriptions are present and readable for each item</t>
        </is>
      </c>
      <c r="K387" t="inlineStr">
        <is>
          <t>确保每个商品均配有可读的描述</t>
        </is>
      </c>
      <c r="L387" s="2" t="str">
        <f>=HYPERLINK("http://pre.mgx.dev/chat/12f639cae49c4921b0569d925e16b380", "http://pre.mgx.dev/chat/12f639cae49c4921b0569d925e16b380")</f>
        <v>http://pre.mgx.dev/chat/12f639cae49c4921b0569d925e16b380</v>
      </c>
      <c r="M387" s="2" t="str">
        <f>=HYPERLINK("", "https://45750-12f639cae49c4921b0569d925e16b380-3-latest.app.beta.mgx.dev")</f>
        <v>https://45750-12f639cae49c4921b0569d925e16b380-3-latest.app.beta.mgx.dev</v>
      </c>
      <c r="N387" s="2" t="str">
        <f>=HYPERLINK("mailto:eval_40@auto.com", "eval_40@auto.com")</f>
        <v>eval_40@auto.com</v>
      </c>
      <c r="O387" t="inlineStr">
        <is>
          <t>12f639cae49c4921b0569d925e16b380</t>
        </is>
      </c>
    </row>
    <row r="388" ht="25.5" customHeight="1">
      <c r="A388" t="inlineStr">
        <is>
          <t>Mini Shop Display</t>
        </is>
      </c>
      <c r="B388">
        <v>30</v>
      </c>
      <c r="C388" t="inlineStr">
        <is>
          <t>@杨春玉</t>
        </is>
      </c>
      <c r="D388">
        <v>1</v>
      </c>
      <c r="E388"/>
      <c r="F388" t="inlineStr">
        <is>
          <t>@陈佳杰</t>
        </is>
      </c>
      <c r="G388">
        <v>1</v>
      </c>
      <c r="H388"/>
      <c r="I388">
        <v>11</v>
      </c>
      <c r="J388" t="inlineStr">
        <is>
          <t>Ensure that clearing all filters shows all products again</t>
        </is>
      </c>
      <c r="K388" t="inlineStr">
        <is>
          <t>确保清除所有筛选条件后重新展示所有商品</t>
        </is>
      </c>
      <c r="L388" s="2" t="str">
        <f>=HYPERLINK("http://pre.mgx.dev/chat/12f639cae49c4921b0569d925e16b380", "http://pre.mgx.dev/chat/12f639cae49c4921b0569d925e16b380")</f>
        <v>http://pre.mgx.dev/chat/12f639cae49c4921b0569d925e16b380</v>
      </c>
      <c r="M388" s="2" t="str">
        <f>=HYPERLINK("", "https://45750-12f639cae49c4921b0569d925e16b380-3-latest.app.beta.mgx.dev")</f>
        <v>https://45750-12f639cae49c4921b0569d925e16b380-3-latest.app.beta.mgx.dev</v>
      </c>
      <c r="N388" s="2" t="str">
        <f>=HYPERLINK("mailto:eval_40@auto.com", "eval_40@auto.com")</f>
        <v>eval_40@auto.com</v>
      </c>
      <c r="O388" t="inlineStr">
        <is>
          <t>12f639cae49c4921b0569d925e16b380</t>
        </is>
      </c>
    </row>
    <row r="389" ht="25.5" customHeight="1">
      <c r="A389" t="inlineStr">
        <is>
          <t>Mini Shop Display</t>
        </is>
      </c>
      <c r="B389">
        <v>30</v>
      </c>
      <c r="C389" t="inlineStr">
        <is>
          <t>@杨春玉</t>
        </is>
      </c>
      <c r="D389">
        <v>1</v>
      </c>
      <c r="E389"/>
      <c r="F389" t="inlineStr">
        <is>
          <t>@陈佳杰</t>
        </is>
      </c>
      <c r="G389">
        <v>1</v>
      </c>
      <c r="H389"/>
      <c r="I389">
        <v>12</v>
      </c>
      <c r="J389" t="inlineStr">
        <is>
          <t>Ensure the full product description is visible on the detail page</t>
        </is>
      </c>
      <c r="K389" t="inlineStr">
        <is>
          <t>确保商品详情页展示完整的商品描述</t>
        </is>
      </c>
      <c r="L389" s="2" t="str">
        <f>=HYPERLINK("http://pre.mgx.dev/chat/12f639cae49c4921b0569d925e16b380", "http://pre.mgx.dev/chat/12f639cae49c4921b0569d925e16b380")</f>
        <v>http://pre.mgx.dev/chat/12f639cae49c4921b0569d925e16b380</v>
      </c>
      <c r="M389" s="2" t="str">
        <f>=HYPERLINK("", "https://45750-12f639cae49c4921b0569d925e16b380-3-latest.app.beta.mgx.dev")</f>
        <v>https://45750-12f639cae49c4921b0569d925e16b380-3-latest.app.beta.mgx.dev</v>
      </c>
      <c r="N389" s="2" t="str">
        <f>=HYPERLINK("mailto:eval_40@auto.com", "eval_40@auto.com")</f>
        <v>eval_40@auto.com</v>
      </c>
      <c r="O389" t="inlineStr">
        <is>
          <t>12f639cae49c4921b0569d925e16b380</t>
        </is>
      </c>
    </row>
    <row r="390" ht="25.5" customHeight="1">
      <c r="A390" t="inlineStr">
        <is>
          <t>Mini Shop Display</t>
        </is>
      </c>
      <c r="B390">
        <v>30</v>
      </c>
      <c r="C390" t="inlineStr">
        <is>
          <t>@杨春玉</t>
        </is>
      </c>
      <c r="D390">
        <v>1</v>
      </c>
      <c r="E390"/>
      <c r="F390" t="inlineStr">
        <is>
          <t>@陈佳杰</t>
        </is>
      </c>
      <c r="G390">
        <v>1</v>
      </c>
      <c r="H390"/>
      <c r="I390">
        <v>13</v>
      </c>
      <c r="J390" t="inlineStr">
        <is>
          <t>Validate that clicking on a product opens its detail page</t>
        </is>
      </c>
      <c r="K390" t="inlineStr">
        <is>
          <t>验证点击商品可打开其详情页</t>
        </is>
      </c>
      <c r="L390" s="2" t="str">
        <f>=HYPERLINK("http://pre.mgx.dev/chat/12f639cae49c4921b0569d925e16b380", "http://pre.mgx.dev/chat/12f639cae49c4921b0569d925e16b380")</f>
        <v>http://pre.mgx.dev/chat/12f639cae49c4921b0569d925e16b380</v>
      </c>
      <c r="M390" s="2" t="str">
        <f>=HYPERLINK("", "https://45750-12f639cae49c4921b0569d925e16b380-3-latest.app.beta.mgx.dev")</f>
        <v>https://45750-12f639cae49c4921b0569d925e16b380-3-latest.app.beta.mgx.dev</v>
      </c>
      <c r="N390" s="2" t="str">
        <f>=HYPERLINK("mailto:eval_40@auto.com", "eval_40@auto.com")</f>
        <v>eval_40@auto.com</v>
      </c>
      <c r="O390" t="inlineStr">
        <is>
          <t>12f639cae49c4921b0569d925e16b380</t>
        </is>
      </c>
    </row>
    <row r="391" ht="25.5" customHeight="1">
      <c r="A391" t="inlineStr">
        <is>
          <t>Mini Shop Display</t>
        </is>
      </c>
      <c r="B391">
        <v>30</v>
      </c>
      <c r="C391" t="inlineStr">
        <is>
          <t>@杨春玉</t>
        </is>
      </c>
      <c r="D391">
        <v>1</v>
      </c>
      <c r="E391"/>
      <c r="F391" t="inlineStr">
        <is>
          <t>@陈佳杰</t>
        </is>
      </c>
      <c r="G391">
        <v>1</v>
      </c>
      <c r="H391"/>
      <c r="I391">
        <v>14</v>
      </c>
      <c r="J391" t="inlineStr">
        <is>
          <t>Verify that clicking on a category tag filters the products correctly</t>
        </is>
      </c>
      <c r="K391" t="inlineStr">
        <is>
          <t>验证点击分类标签可正确筛选商品</t>
        </is>
      </c>
      <c r="L391" s="2" t="str">
        <f>=HYPERLINK("http://pre.mgx.dev/chat/12f639cae49c4921b0569d925e16b380", "http://pre.mgx.dev/chat/12f639cae49c4921b0569d925e16b380")</f>
        <v>http://pre.mgx.dev/chat/12f639cae49c4921b0569d925e16b380</v>
      </c>
      <c r="M391" s="2" t="str">
        <f>=HYPERLINK("", "https://45750-12f639cae49c4921b0569d925e16b380-3-latest.app.beta.mgx.dev")</f>
        <v>https://45750-12f639cae49c4921b0569d925e16b380-3-latest.app.beta.mgx.dev</v>
      </c>
      <c r="N391" s="2" t="str">
        <f>=HYPERLINK("mailto:eval_40@auto.com", "eval_40@auto.com")</f>
        <v>eval_40@auto.com</v>
      </c>
      <c r="O391" t="inlineStr">
        <is>
          <t>12f639cae49c4921b0569d925e16b380</t>
        </is>
      </c>
    </row>
    <row r="392" ht="25.5" customHeight="1">
      <c r="A392" t="inlineStr">
        <is>
          <t>Mini Shop Display</t>
        </is>
      </c>
      <c r="B392">
        <v>30</v>
      </c>
      <c r="C392" t="inlineStr">
        <is>
          <t>@杨春玉</t>
        </is>
      </c>
      <c r="D392">
        <v>1</v>
      </c>
      <c r="E392"/>
      <c r="F392" t="inlineStr">
        <is>
          <t>@陈佳杰</t>
        </is>
      </c>
      <c r="G392">
        <v>1</v>
      </c>
      <c r="H392"/>
      <c r="I392">
        <v>15</v>
      </c>
      <c r="J392" t="inlineStr">
        <is>
          <t>Verify that price tags are visible for all products on the main page</t>
        </is>
      </c>
      <c r="K392" t="inlineStr">
        <is>
          <t>验证主页面上所有商品均展示价格标签</t>
        </is>
      </c>
      <c r="L392" s="2" t="str">
        <f>=HYPERLINK("http://pre.mgx.dev/chat/12f639cae49c4921b0569d925e16b380", "http://pre.mgx.dev/chat/12f639cae49c4921b0569d925e16b380")</f>
        <v>http://pre.mgx.dev/chat/12f639cae49c4921b0569d925e16b380</v>
      </c>
      <c r="M392" s="2" t="str">
        <f>=HYPERLINK("", "https://45750-12f639cae49c4921b0569d925e16b380-3-latest.app.beta.mgx.dev")</f>
        <v>https://45750-12f639cae49c4921b0569d925e16b380-3-latest.app.beta.mgx.dev</v>
      </c>
      <c r="N392" s="2" t="str">
        <f>=HYPERLINK("mailto:eval_40@auto.com", "eval_40@auto.com")</f>
        <v>eval_40@auto.com</v>
      </c>
      <c r="O392" t="inlineStr">
        <is>
          <t>12f639cae49c4921b0569d925e16b380</t>
        </is>
      </c>
    </row>
    <row r="393" ht="25.5" customHeight="1">
      <c r="A393" t="inlineStr">
        <is>
          <t>Mini Shop Display</t>
        </is>
      </c>
      <c r="B393">
        <v>30</v>
      </c>
      <c r="C393" t="inlineStr">
        <is>
          <t>@杨春玉</t>
        </is>
      </c>
      <c r="D393">
        <v>1</v>
      </c>
      <c r="E393"/>
      <c r="F393" t="inlineStr">
        <is>
          <t>@陈佳杰</t>
        </is>
      </c>
      <c r="G393">
        <v>1</v>
      </c>
      <c r="H393"/>
      <c r="I393">
        <v>16</v>
      </c>
      <c r="J393" t="inlineStr">
        <is>
          <t>Verify that the product price is shown accurately on the detail page</t>
        </is>
      </c>
      <c r="K393" t="inlineStr">
        <is>
          <t>验证商品详情页上价格展示准确</t>
        </is>
      </c>
      <c r="L393" s="2" t="str">
        <f>=HYPERLINK("http://pre.mgx.dev/chat/12f639cae49c4921b0569d925e16b380", "http://pre.mgx.dev/chat/12f639cae49c4921b0569d925e16b380")</f>
        <v>http://pre.mgx.dev/chat/12f639cae49c4921b0569d925e16b380</v>
      </c>
      <c r="M393" s="2" t="str">
        <f>=HYPERLINK("", "https://45750-12f639cae49c4921b0569d925e16b380-3-latest.app.beta.mgx.dev")</f>
        <v>https://45750-12f639cae49c4921b0569d925e16b380-3-latest.app.beta.mgx.dev</v>
      </c>
      <c r="N393" s="2" t="str">
        <f>=HYPERLINK("mailto:eval_40@auto.com", "eval_40@auto.com")</f>
        <v>eval_40@auto.com</v>
      </c>
      <c r="O393" t="inlineStr">
        <is>
          <t>12f639cae49c4921b0569d925e16b380</t>
        </is>
      </c>
    </row>
    <row r="394" ht="25.5" customHeight="1">
      <c r="A394" t="inlineStr">
        <is>
          <t>MoodMaker</t>
        </is>
      </c>
      <c r="B394">
        <v>31</v>
      </c>
      <c r="C394" t="inlineStr">
        <is>
          <t>@杨春玉</t>
        </is>
      </c>
      <c r="D394">
        <v>1</v>
      </c>
      <c r="E394"/>
      <c r="F394" t="inlineStr">
        <is>
          <t>@陈佳杰</t>
        </is>
      </c>
      <c r="G394">
        <v>1</v>
      </c>
      <c r="H394"/>
      <c r="I394">
        <v>1</v>
      </c>
      <c r="J394" t="inlineStr">
        <is>
          <t>Ensure all predefined moods are clickable and selectable</t>
        </is>
      </c>
      <c r="K394" t="inlineStr">
        <is>
          <t>确保所有预设情绪标签可点击且可选择</t>
        </is>
      </c>
      <c r="L394" s="2" t="str">
        <f>=HYPERLINK("https://atoms.dev/chat/c3965e5f8d184bb0bf08affee1c67d86", "https://atoms.dev/chat/c3965e5f8d184bb0bf08affee1c67d86")</f>
        <v>https://atoms.dev/chat/c3965e5f8d184bb0bf08affee1c67d86</v>
      </c>
      <c r="M394" s="2" t="str">
        <f>=HYPERLINK("https://890130-c3965e5f8d184bb0bf08affee1c67d86-latest-dev.dev.atoms.dev/", "https://890130-c3965e5f8d184bb0bf08affee1c67d86-latest-dev.dev.atoms.dev/")</f>
        <v>https://890130-c3965e5f8d184bb0bf08affee1c67d86-latest-dev.dev.atoms.dev/</v>
      </c>
      <c r="N394" s="2" t="str">
        <f>=HYPERLINK("http://press_test8@mgx.dev", "press_test8@mgx.dev")</f>
        <v>press_test8@mgx.dev</v>
      </c>
      <c r="O394" t="inlineStr">
        <is>
          <t>c3965e5f8d184bb0bf08affee1c67d86</t>
        </is>
      </c>
    </row>
    <row r="395" ht="25.5" customHeight="1">
      <c r="A395" t="inlineStr">
        <is>
          <t>MoodMaker</t>
        </is>
      </c>
      <c r="B395">
        <v>31</v>
      </c>
      <c r="C395" t="inlineStr">
        <is>
          <t>@杨春玉</t>
        </is>
      </c>
      <c r="D395">
        <v>0</v>
      </c>
      <c r="E395" t="inlineStr">
        <is>
          <t>不可调取并播放</t>
        </is>
      </c>
      <c r="F395" t="inlineStr">
        <is>
          <t>@陈佳杰</t>
        </is>
      </c>
      <c r="G395">
        <v>0</v>
      </c>
      <c r="H395" t="inlineStr">
        <is>
          <t>无法播放</t>
        </is>
      </c>
      <c r="I395">
        <v>2</v>
      </c>
      <c r="J395" t="inlineStr">
        <is>
          <t>Ensure saved playlists are retrievable and playable</t>
        </is>
      </c>
      <c r="K395" t="inlineStr">
        <is>
          <t>确保已保存的播放列表可调取并播放</t>
        </is>
      </c>
      <c r="L395" s="2" t="str">
        <f>=HYPERLINK("https://atoms.dev/chat/c3965e5f8d184bb0bf08affee1c67d86", "https://atoms.dev/chat/c3965e5f8d184bb0bf08affee1c67d86")</f>
        <v>https://atoms.dev/chat/c3965e5f8d184bb0bf08affee1c67d86</v>
      </c>
      <c r="M395" s="2" t="str">
        <f>=HYPERLINK("https://890130-c3965e5f8d184bb0bf08affee1c67d86-latest-dev.dev.atoms.dev/", "https://890130-c3965e5f8d184bb0bf08affee1c67d86-latest-dev.dev.atoms.dev/")</f>
        <v>https://890130-c3965e5f8d184bb0bf08affee1c67d86-latest-dev.dev.atoms.dev/</v>
      </c>
      <c r="N395" s="2" t="str">
        <f>=HYPERLINK("http://press_test8@mgx.dev", "press_test8@mgx.dev")</f>
        <v>press_test8@mgx.dev</v>
      </c>
      <c r="O395" t="inlineStr">
        <is>
          <t>c3965e5f8d184bb0bf08affee1c67d86</t>
        </is>
      </c>
    </row>
    <row r="396" ht="25.5" customHeight="1">
      <c r="A396" t="inlineStr">
        <is>
          <t>MoodMaker</t>
        </is>
      </c>
      <c r="B396">
        <v>31</v>
      </c>
      <c r="C396" t="inlineStr">
        <is>
          <t>@杨春玉</t>
        </is>
      </c>
      <c r="D396">
        <v>0</v>
      </c>
      <c r="E396" t="inlineStr">
        <is>
          <t>不可编辑</t>
        </is>
      </c>
      <c r="F396" t="inlineStr">
        <is>
          <t>@陈佳杰</t>
        </is>
      </c>
      <c r="G396">
        <v>0</v>
      </c>
      <c r="H396" t="inlineStr">
        <is>
          <t>无法编辑</t>
        </is>
      </c>
      <c r="I396">
        <v>3</v>
      </c>
      <c r="J396" t="inlineStr">
        <is>
          <t>Test editing and deleting saved playlists</t>
        </is>
      </c>
      <c r="K396" t="inlineStr">
        <is>
          <t>测试编辑和删除已保存的播放列表</t>
        </is>
      </c>
      <c r="L396" s="2" t="str">
        <f>=HYPERLINK("https://atoms.dev/chat/c3965e5f8d184bb0bf08affee1c67d86", "https://atoms.dev/chat/c3965e5f8d184bb0bf08affee1c67d86")</f>
        <v>https://atoms.dev/chat/c3965e5f8d184bb0bf08affee1c67d86</v>
      </c>
      <c r="M396" s="2" t="str">
        <f>=HYPERLINK("https://890130-c3965e5f8d184bb0bf08affee1c67d86-latest-dev.dev.atoms.dev/", "https://890130-c3965e5f8d184bb0bf08affee1c67d86-latest-dev.dev.atoms.dev/")</f>
        <v>https://890130-c3965e5f8d184bb0bf08affee1c67d86-latest-dev.dev.atoms.dev/</v>
      </c>
      <c r="N396" s="2" t="str">
        <f>=HYPERLINK("http://press_test8@mgx.dev", "press_test8@mgx.dev")</f>
        <v>press_test8@mgx.dev</v>
      </c>
      <c r="O396" t="inlineStr">
        <is>
          <t>c3965e5f8d184bb0bf08affee1c67d86</t>
        </is>
      </c>
    </row>
    <row r="397" ht="25.5" customHeight="1">
      <c r="A397" t="inlineStr">
        <is>
          <t>MoodMaker</t>
        </is>
      </c>
      <c r="B397">
        <v>31</v>
      </c>
      <c r="C397" t="inlineStr">
        <is>
          <t>@杨春玉</t>
        </is>
      </c>
      <c r="D397">
        <v>0</v>
      </c>
      <c r="E397" t="inlineStr">
        <is>
          <t>不可编辑</t>
        </is>
      </c>
      <c r="F397" t="inlineStr">
        <is>
          <t>@陈佳杰</t>
        </is>
      </c>
      <c r="G397">
        <v>0</v>
      </c>
      <c r="H397" t="inlineStr">
        <is>
          <t>无法自定义名称</t>
        </is>
      </c>
      <c r="I397">
        <v>4</v>
      </c>
      <c r="J397" t="inlineStr">
        <is>
          <t>Test saving a generated playlist with a custom name</t>
        </is>
      </c>
      <c r="K397" t="inlineStr">
        <is>
          <t>测试以自定义名称保存生成的播放列表</t>
        </is>
      </c>
      <c r="L397" s="2" t="str">
        <f>=HYPERLINK("https://atoms.dev/chat/c3965e5f8d184bb0bf08affee1c67d86", "https://atoms.dev/chat/c3965e5f8d184bb0bf08affee1c67d86")</f>
        <v>https://atoms.dev/chat/c3965e5f8d184bb0bf08affee1c67d86</v>
      </c>
      <c r="M397" s="2" t="str">
        <f>=HYPERLINK("https://890130-c3965e5f8d184bb0bf08affee1c67d86-latest-dev.dev.atoms.dev/", "https://890130-c3965e5f8d184bb0bf08affee1c67d86-latest-dev.dev.atoms.dev/")</f>
        <v>https://890130-c3965e5f8d184bb0bf08affee1c67d86-latest-dev.dev.atoms.dev/</v>
      </c>
      <c r="N397" s="2" t="str">
        <f>=HYPERLINK("http://press_test8@mgx.dev", "press_test8@mgx.dev")</f>
        <v>press_test8@mgx.dev</v>
      </c>
      <c r="O397" t="inlineStr">
        <is>
          <t>c3965e5f8d184bb0bf08affee1c67d86</t>
        </is>
      </c>
    </row>
    <row r="398" ht="25.5" customHeight="1">
      <c r="A398" t="inlineStr">
        <is>
          <t>MoodMaker</t>
        </is>
      </c>
      <c r="B398">
        <v>31</v>
      </c>
      <c r="C398" t="inlineStr">
        <is>
          <t>@杨春玉</t>
        </is>
      </c>
      <c r="D398">
        <v>1</v>
      </c>
      <c r="E398"/>
      <c r="F398" t="inlineStr">
        <is>
          <t>@陈佳杰</t>
        </is>
      </c>
      <c r="G398">
        <v>1</v>
      </c>
      <c r="H398"/>
      <c r="I398">
        <v>5</v>
      </c>
      <c r="J398" t="inlineStr">
        <is>
          <t>Test the custom mood input functionality</t>
        </is>
      </c>
      <c r="K398" t="inlineStr">
        <is>
          <t>测试自定义情绪输入功能</t>
        </is>
      </c>
      <c r="L398" s="2" t="str">
        <f>=HYPERLINK("https://atoms.dev/chat/c3965e5f8d184bb0bf08affee1c67d86", "https://atoms.dev/chat/c3965e5f8d184bb0bf08affee1c67d86")</f>
        <v>https://atoms.dev/chat/c3965e5f8d184bb0bf08affee1c67d86</v>
      </c>
      <c r="M398" s="2" t="str">
        <f>=HYPERLINK("https://890130-c3965e5f8d184bb0bf08affee1c67d86-latest-dev.dev.atoms.dev/", "https://890130-c3965e5f8d184bb0bf08affee1c67d86-latest-dev.dev.atoms.dev/")</f>
        <v>https://890130-c3965e5f8d184bb0bf08affee1c67d86-latest-dev.dev.atoms.dev/</v>
      </c>
      <c r="N398" s="2" t="str">
        <f>=HYPERLINK("http://press_test8@mgx.dev", "press_test8@mgx.dev")</f>
        <v>press_test8@mgx.dev</v>
      </c>
      <c r="O398" t="inlineStr">
        <is>
          <t>c3965e5f8d184bb0bf08affee1c67d86</t>
        </is>
      </c>
    </row>
    <row r="399" ht="25.5" customHeight="1">
      <c r="A399" t="inlineStr">
        <is>
          <t>MoodMaker</t>
        </is>
      </c>
      <c r="B399">
        <v>31</v>
      </c>
      <c r="C399" t="inlineStr">
        <is>
          <t>@杨春玉</t>
        </is>
      </c>
      <c r="D399">
        <v>1</v>
      </c>
      <c r="E399"/>
      <c r="F399" t="inlineStr">
        <is>
          <t>@陈佳杰</t>
        </is>
      </c>
      <c r="G399">
        <v>1</v>
      </c>
      <c r="H399"/>
      <c r="I399">
        <v>6</v>
      </c>
      <c r="J399" t="inlineStr">
        <is>
          <t>Validate that selecting a mood triggers the playlist generation process</t>
        </is>
      </c>
      <c r="K399" t="inlineStr">
        <is>
          <t>验证选择情绪可触发播放列表生成流程</t>
        </is>
      </c>
      <c r="L399" s="2" t="str">
        <f>=HYPERLINK("https://atoms.dev/chat/c3965e5f8d184bb0bf08affee1c67d86", "https://atoms.dev/chat/c3965e5f8d184bb0bf08affee1c67d86")</f>
        <v>https://atoms.dev/chat/c3965e5f8d184bb0bf08affee1c67d86</v>
      </c>
      <c r="M399" s="2" t="str">
        <f>=HYPERLINK("https://890130-c3965e5f8d184bb0bf08affee1c67d86-latest-dev.dev.atoms.dev/", "https://890130-c3965e5f8d184bb0bf08affee1c67d86-latest-dev.dev.atoms.dev/")</f>
        <v>https://890130-c3965e5f8d184bb0bf08affee1c67d86-latest-dev.dev.atoms.dev/</v>
      </c>
      <c r="N399" s="2" t="str">
        <f>=HYPERLINK("http://press_test8@mgx.dev", "press_test8@mgx.dev")</f>
        <v>press_test8@mgx.dev</v>
      </c>
      <c r="O399" t="inlineStr">
        <is>
          <t>c3965e5f8d184bb0bf08affee1c67d86</t>
        </is>
      </c>
    </row>
    <row r="400" ht="25.5" customHeight="1">
      <c r="A400" t="inlineStr">
        <is>
          <t>MoodMaker</t>
        </is>
      </c>
      <c r="B400">
        <v>31</v>
      </c>
      <c r="C400" t="inlineStr">
        <is>
          <t>@杨春玉</t>
        </is>
      </c>
      <c r="D400">
        <v>0</v>
      </c>
      <c r="E400" t="inlineStr">
        <is>
          <t>不可编辑</t>
        </is>
      </c>
      <c r="F400" t="inlineStr">
        <is>
          <t>@陈佳杰</t>
        </is>
      </c>
      <c r="G400">
        <v>0</v>
      </c>
      <c r="H400" t="inlineStr">
        <is>
          <t>无法编辑</t>
        </is>
      </c>
      <c r="I400">
        <v>7</v>
      </c>
      <c r="J400" t="inlineStr">
        <is>
          <t>Verify adding a description to a saved playlist</t>
        </is>
      </c>
      <c r="K400" t="inlineStr">
        <is>
          <t>验证为已保存的播放列表添加描述</t>
        </is>
      </c>
      <c r="L400" s="2" t="str">
        <f>=HYPERLINK("https://atoms.dev/chat/c3965e5f8d184bb0bf08affee1c67d86", "https://atoms.dev/chat/c3965e5f8d184bb0bf08affee1c67d86")</f>
        <v>https://atoms.dev/chat/c3965e5f8d184bb0bf08affee1c67d86</v>
      </c>
      <c r="M400" s="2" t="str">
        <f>=HYPERLINK("https://890130-c3965e5f8d184bb0bf08affee1c67d86-latest-dev.dev.atoms.dev/", "https://890130-c3965e5f8d184bb0bf08affee1c67d86-latest-dev.dev.atoms.dev/")</f>
        <v>https://890130-c3965e5f8d184bb0bf08affee1c67d86-latest-dev.dev.atoms.dev/</v>
      </c>
      <c r="N400" s="2" t="str">
        <f>=HYPERLINK("http://press_test8@mgx.dev", "press_test8@mgx.dev")</f>
        <v>press_test8@mgx.dev</v>
      </c>
      <c r="O400" t="inlineStr">
        <is>
          <t>c3965e5f8d184bb0bf08affee1c67d86</t>
        </is>
      </c>
    </row>
    <row r="401" ht="25.5" customHeight="1">
      <c r="A401" t="inlineStr">
        <is>
          <t>MoodMaker</t>
        </is>
      </c>
      <c r="B401">
        <v>31</v>
      </c>
      <c r="C401" t="inlineStr">
        <is>
          <t>@杨春玉</t>
        </is>
      </c>
      <c r="D401">
        <v>0</v>
      </c>
      <c r="E401" t="inlineStr">
        <is>
          <t>Energetic Vibes不足10个</t>
        </is>
      </c>
      <c r="F401" t="inlineStr">
        <is>
          <t>@陈佳杰</t>
        </is>
      </c>
      <c r="G401">
        <v>1</v>
      </c>
      <c r="H401"/>
      <c r="I401">
        <v>8</v>
      </c>
      <c r="J401" t="inlineStr">
        <is>
          <t>Verify that the generated playlist contains 10-15 songs</t>
        </is>
      </c>
      <c r="K401" t="inlineStr">
        <is>
          <t>验证生成的播放列表包含10-15首歌曲</t>
        </is>
      </c>
      <c r="L401" s="2" t="str">
        <f>=HYPERLINK("https://atoms.dev/chat/c3965e5f8d184bb0bf08affee1c67d86", "https://atoms.dev/chat/c3965e5f8d184bb0bf08affee1c67d86")</f>
        <v>https://atoms.dev/chat/c3965e5f8d184bb0bf08affee1c67d86</v>
      </c>
      <c r="M401" s="2" t="str">
        <f>=HYPERLINK("https://890130-c3965e5f8d184bb0bf08affee1c67d86-latest-dev.dev.atoms.dev/", "https://890130-c3965e5f8d184bb0bf08affee1c67d86-latest-dev.dev.atoms.dev/")</f>
        <v>https://890130-c3965e5f8d184bb0bf08affee1c67d86-latest-dev.dev.atoms.dev/</v>
      </c>
      <c r="N401" s="2" t="str">
        <f>=HYPERLINK("http://press_test8@mgx.dev", "press_test8@mgx.dev")</f>
        <v>press_test8@mgx.dev</v>
      </c>
      <c r="O401" t="inlineStr">
        <is>
          <t>c3965e5f8d184bb0bf08affee1c67d86</t>
        </is>
      </c>
    </row>
    <row r="402" ht="25.5" customHeight="1">
      <c r="A402" t="inlineStr">
        <is>
          <t>MoodMaker</t>
        </is>
      </c>
      <c r="B402">
        <v>31</v>
      </c>
      <c r="C402" t="inlineStr">
        <is>
          <t>@杨春玉</t>
        </is>
      </c>
      <c r="D402">
        <v>1</v>
      </c>
      <c r="E402"/>
      <c r="F402" t="inlineStr">
        <is>
          <t>@陈佳杰</t>
        </is>
      </c>
      <c r="G402">
        <v>1</v>
      </c>
      <c r="H402"/>
      <c r="I402">
        <v>9</v>
      </c>
      <c r="J402" t="inlineStr">
        <is>
          <t>Verify the mood selection interface displays predefined moods (happy, sad, energetic, relaxed)</t>
        </is>
      </c>
      <c r="K402" t="inlineStr">
        <is>
          <t>验证情绪选择界面展示预设情绪（开心、悲伤、活力、放松）</t>
        </is>
      </c>
      <c r="L402" s="2" t="str">
        <f>=HYPERLINK("https://atoms.dev/chat/c3965e5f8d184bb0bf08affee1c67d86", "https://atoms.dev/chat/c3965e5f8d184bb0bf08affee1c67d86")</f>
        <v>https://atoms.dev/chat/c3965e5f8d184bb0bf08affee1c67d86</v>
      </c>
      <c r="M402" s="2" t="str">
        <f>=HYPERLINK("https://890130-c3965e5f8d184bb0bf08affee1c67d86-latest-dev.dev.atoms.dev/", "https://890130-c3965e5f8d184bb0bf08affee1c67d86-latest-dev.dev.atoms.dev/")</f>
        <v>https://890130-c3965e5f8d184bb0bf08affee1c67d86-latest-dev.dev.atoms.dev/</v>
      </c>
      <c r="N402" s="2" t="str">
        <f>=HYPERLINK("http://press_test8@mgx.dev", "press_test8@mgx.dev")</f>
        <v>press_test8@mgx.dev</v>
      </c>
      <c r="O402" t="inlineStr">
        <is>
          <t>c3965e5f8d184bb0bf08affee1c67d86</t>
        </is>
      </c>
    </row>
    <row r="403" ht="25.5" customHeight="1">
      <c r="A403" t="inlineStr">
        <is>
          <t>Music Collection</t>
        </is>
      </c>
      <c r="B403">
        <v>32</v>
      </c>
      <c r="C403" t="inlineStr">
        <is>
          <t>@杨春玉</t>
        </is>
      </c>
      <c r="D403">
        <v>1</v>
      </c>
      <c r="E403"/>
      <c r="F403" t="inlineStr">
        <is>
          <t>@陈佳杰</t>
        </is>
      </c>
      <c r="G403">
        <v>1</v>
      </c>
      <c r="H403"/>
      <c r="I403">
        <v>1</v>
      </c>
      <c r="J403" t="inlineStr">
        <is>
          <t>Check if multiple tags can be selected for filtering</t>
        </is>
      </c>
      <c r="K403" t="inlineStr">
        <is>
          <t>检查可选择多个标签进行筛选</t>
        </is>
      </c>
      <c r="L403" s="2" t="str">
        <f>=HYPERLINK("http://pre.mgx.dev/chat/e374edda6db94dbf8d5cb88a0146272e", "http://pre.mgx.dev/chat/e374edda6db94dbf8d5cb88a0146272e")</f>
        <v>http://pre.mgx.dev/chat/e374edda6db94dbf8d5cb88a0146272e</v>
      </c>
      <c r="M403" s="2" t="str">
        <f>=HYPERLINK("", "https://45777-e374edda6db94dbf8d5cb88a0146272e-3-latest.app.beta.mgx.dev")</f>
        <v>https://45777-e374edda6db94dbf8d5cb88a0146272e-3-latest.app.beta.mgx.dev</v>
      </c>
      <c r="N403" s="2" t="str">
        <f>=HYPERLINK("mailto:eval_67@auto.com", "eval_67@auto.com")</f>
        <v>eval_67@auto.com</v>
      </c>
      <c r="O403" t="inlineStr">
        <is>
          <t>e374edda6db94dbf8d5cb88a0146272e</t>
        </is>
      </c>
    </row>
    <row r="404" ht="25.5" customHeight="1">
      <c r="A404" t="inlineStr">
        <is>
          <t>Music Collection</t>
        </is>
      </c>
      <c r="B404">
        <v>32</v>
      </c>
      <c r="C404" t="inlineStr">
        <is>
          <t>@杨春玉</t>
        </is>
      </c>
      <c r="D404">
        <v>1</v>
      </c>
      <c r="E404"/>
      <c r="F404" t="inlineStr">
        <is>
          <t>@陈佳杰</t>
        </is>
      </c>
      <c r="G404">
        <v>1</v>
      </c>
      <c r="H404"/>
      <c r="I404">
        <v>2</v>
      </c>
      <c r="J404" t="inlineStr">
        <is>
          <t>Check if playlists are visible on the page</t>
        </is>
      </c>
      <c r="K404" t="inlineStr">
        <is>
          <t>检查页面上展示播放列表</t>
        </is>
      </c>
      <c r="L404" s="2" t="str">
        <f>=HYPERLINK("http://pre.mgx.dev/chat/e374edda6db94dbf8d5cb88a0146272e", "http://pre.mgx.dev/chat/e374edda6db94dbf8d5cb88a0146272e")</f>
        <v>http://pre.mgx.dev/chat/e374edda6db94dbf8d5cb88a0146272e</v>
      </c>
      <c r="M404" s="2" t="str">
        <f>=HYPERLINK("", "https://45777-e374edda6db94dbf8d5cb88a0146272e-3-latest.app.beta.mgx.dev")</f>
        <v>https://45777-e374edda6db94dbf8d5cb88a0146272e-3-latest.app.beta.mgx.dev</v>
      </c>
      <c r="N404" s="2" t="str">
        <f>=HYPERLINK("mailto:eval_67@auto.com", "eval_67@auto.com")</f>
        <v>eval_67@auto.com</v>
      </c>
      <c r="O404" t="inlineStr">
        <is>
          <t>e374edda6db94dbf8d5cb88a0146272e</t>
        </is>
      </c>
    </row>
    <row r="405" ht="25.5" customHeight="1">
      <c r="A405" t="inlineStr">
        <is>
          <t>Music Collection</t>
        </is>
      </c>
      <c r="B405">
        <v>32</v>
      </c>
      <c r="C405" t="inlineStr">
        <is>
          <t>@杨春玉</t>
        </is>
      </c>
      <c r="D405">
        <v>1</v>
      </c>
      <c r="E405"/>
      <c r="F405" t="inlineStr">
        <is>
          <t>@陈佳杰</t>
        </is>
      </c>
      <c r="G405">
        <v>1</v>
      </c>
      <c r="H405"/>
      <c r="I405">
        <v>3</v>
      </c>
      <c r="J405" t="inlineStr">
        <is>
          <t>Check if the audio player has pause functionality</t>
        </is>
      </c>
      <c r="K405" t="inlineStr">
        <is>
          <t>检查音频播放器具备暂停功能</t>
        </is>
      </c>
      <c r="L405" s="2" t="str">
        <f>=HYPERLINK("http://pre.mgx.dev/chat/e374edda6db94dbf8d5cb88a0146272e", "http://pre.mgx.dev/chat/e374edda6db94dbf8d5cb88a0146272e")</f>
        <v>http://pre.mgx.dev/chat/e374edda6db94dbf8d5cb88a0146272e</v>
      </c>
      <c r="M405" s="2" t="str">
        <f>=HYPERLINK("", "https://45777-e374edda6db94dbf8d5cb88a0146272e-3-latest.app.beta.mgx.dev")</f>
        <v>https://45777-e374edda6db94dbf8d5cb88a0146272e-3-latest.app.beta.mgx.dev</v>
      </c>
      <c r="N405" s="2" t="str">
        <f>=HYPERLINK("mailto:eval_67@auto.com", "eval_67@auto.com")</f>
        <v>eval_67@auto.com</v>
      </c>
      <c r="O405" t="inlineStr">
        <is>
          <t>e374edda6db94dbf8d5cb88a0146272e</t>
        </is>
      </c>
    </row>
    <row r="406" ht="25.5" customHeight="1">
      <c r="A406" t="inlineStr">
        <is>
          <t>Music Collection</t>
        </is>
      </c>
      <c r="B406">
        <v>32</v>
      </c>
      <c r="C406" t="inlineStr">
        <is>
          <t>@杨春玉</t>
        </is>
      </c>
      <c r="D406">
        <v>1</v>
      </c>
      <c r="E406"/>
      <c r="F406" t="inlineStr">
        <is>
          <t>@陈佳杰</t>
        </is>
      </c>
      <c r="G406">
        <v>1</v>
      </c>
      <c r="H406"/>
      <c r="I406">
        <v>4</v>
      </c>
      <c r="J406" t="inlineStr">
        <is>
          <t>Confirm that a share button is present on the page</t>
        </is>
      </c>
      <c r="K406" t="inlineStr">
        <is>
          <t>确认页面上存在分享按钮</t>
        </is>
      </c>
      <c r="L406" s="2" t="str">
        <f>=HYPERLINK("http://pre.mgx.dev/chat/e374edda6db94dbf8d5cb88a0146272e", "http://pre.mgx.dev/chat/e374edda6db94dbf8d5cb88a0146272e")</f>
        <v>http://pre.mgx.dev/chat/e374edda6db94dbf8d5cb88a0146272e</v>
      </c>
      <c r="M406" s="2" t="str">
        <f>=HYPERLINK("", "https://45777-e374edda6db94dbf8d5cb88a0146272e-3-latest.app.beta.mgx.dev")</f>
        <v>https://45777-e374edda6db94dbf8d5cb88a0146272e-3-latest.app.beta.mgx.dev</v>
      </c>
      <c r="N406" s="2" t="str">
        <f>=HYPERLINK("mailto:eval_67@auto.com", "eval_67@auto.com")</f>
        <v>eval_67@auto.com</v>
      </c>
      <c r="O406" t="inlineStr">
        <is>
          <t>e374edda6db94dbf8d5cb88a0146272e</t>
        </is>
      </c>
    </row>
    <row r="407" ht="25.5" customHeight="1">
      <c r="A407" t="inlineStr">
        <is>
          <t>Music Collection</t>
        </is>
      </c>
      <c r="B407">
        <v>32</v>
      </c>
      <c r="C407" t="inlineStr">
        <is>
          <t>@杨春玉</t>
        </is>
      </c>
      <c r="D407">
        <v>1</v>
      </c>
      <c r="E407"/>
      <c r="F407" t="inlineStr">
        <is>
          <t>@陈佳杰</t>
        </is>
      </c>
      <c r="G407">
        <v>1</v>
      </c>
      <c r="H407"/>
      <c r="I407">
        <v>5</v>
      </c>
      <c r="J407" t="inlineStr">
        <is>
          <t>Test if lyrics or description changes when a new audio file is selected</t>
        </is>
      </c>
      <c r="K407" t="inlineStr">
        <is>
          <t>测试选择新音频文件后歌词或描述是否变化</t>
        </is>
      </c>
      <c r="L407" s="2" t="str">
        <f>=HYPERLINK("http://pre.mgx.dev/chat/e374edda6db94dbf8d5cb88a0146272e", "http://pre.mgx.dev/chat/e374edda6db94dbf8d5cb88a0146272e")</f>
        <v>http://pre.mgx.dev/chat/e374edda6db94dbf8d5cb88a0146272e</v>
      </c>
      <c r="M407" s="2" t="str">
        <f>=HYPERLINK("", "https://45777-e374edda6db94dbf8d5cb88a0146272e-3-latest.app.beta.mgx.dev")</f>
        <v>https://45777-e374edda6db94dbf8d5cb88a0146272e-3-latest.app.beta.mgx.dev</v>
      </c>
      <c r="N407" s="2" t="str">
        <f>=HYPERLINK("mailto:eval_67@auto.com", "eval_67@auto.com")</f>
        <v>eval_67@auto.com</v>
      </c>
      <c r="O407" t="inlineStr">
        <is>
          <t>e374edda6db94dbf8d5cb88a0146272e</t>
        </is>
      </c>
    </row>
    <row r="408" ht="25.5" customHeight="1">
      <c r="A408" t="inlineStr">
        <is>
          <t>Music Collection</t>
        </is>
      </c>
      <c r="B408">
        <v>32</v>
      </c>
      <c r="C408" t="inlineStr">
        <is>
          <t>@杨春玉</t>
        </is>
      </c>
      <c r="D408">
        <v>1</v>
      </c>
      <c r="E408"/>
      <c r="F408" t="inlineStr">
        <is>
          <t>@陈佳杰</t>
        </is>
      </c>
      <c r="G408">
        <v>1</v>
      </c>
      <c r="H408"/>
      <c r="I408">
        <v>6</v>
      </c>
      <c r="J408" t="inlineStr">
        <is>
          <t>Test if the audio player can skip to the next track</t>
        </is>
      </c>
      <c r="K408" t="inlineStr">
        <is>
          <t>测试音频播放器可切换至下一曲目</t>
        </is>
      </c>
      <c r="L408" s="2" t="str">
        <f>=HYPERLINK("http://pre.mgx.dev/chat/e374edda6db94dbf8d5cb88a0146272e", "http://pre.mgx.dev/chat/e374edda6db94dbf8d5cb88a0146272e")</f>
        <v>http://pre.mgx.dev/chat/e374edda6db94dbf8d5cb88a0146272e</v>
      </c>
      <c r="M408" s="2" t="str">
        <f>=HYPERLINK("", "https://45777-e374edda6db94dbf8d5cb88a0146272e-3-latest.app.beta.mgx.dev")</f>
        <v>https://45777-e374edda6db94dbf8d5cb88a0146272e-3-latest.app.beta.mgx.dev</v>
      </c>
      <c r="N408" s="2" t="str">
        <f>=HYPERLINK("mailto:eval_67@auto.com", "eval_67@auto.com")</f>
        <v>eval_67@auto.com</v>
      </c>
      <c r="O408" t="inlineStr">
        <is>
          <t>e374edda6db94dbf8d5cb88a0146272e</t>
        </is>
      </c>
    </row>
    <row r="409" ht="25.5" customHeight="1">
      <c r="A409" t="inlineStr">
        <is>
          <t>Music Collection</t>
        </is>
      </c>
      <c r="B409">
        <v>32</v>
      </c>
      <c r="C409" t="inlineStr">
        <is>
          <t>@杨春玉</t>
        </is>
      </c>
      <c r="D409">
        <v>1</v>
      </c>
      <c r="E409"/>
      <c r="F409" t="inlineStr">
        <is>
          <t>@陈佳杰</t>
        </is>
      </c>
      <c r="G409">
        <v>1</v>
      </c>
      <c r="H409"/>
      <c r="I409">
        <v>7</v>
      </c>
      <c r="J409" t="inlineStr">
        <is>
          <t>Test if the audio player is present on the page</t>
        </is>
      </c>
      <c r="K409" t="inlineStr">
        <is>
          <t>测试页面上存在音频播放器</t>
        </is>
      </c>
      <c r="L409" s="2" t="str">
        <f>=HYPERLINK("http://pre.mgx.dev/chat/e374edda6db94dbf8d5cb88a0146272e", "http://pre.mgx.dev/chat/e374edda6db94dbf8d5cb88a0146272e")</f>
        <v>http://pre.mgx.dev/chat/e374edda6db94dbf8d5cb88a0146272e</v>
      </c>
      <c r="M409" s="2" t="str">
        <f>=HYPERLINK("", "https://45777-e374edda6db94dbf8d5cb88a0146272e-3-latest.app.beta.mgx.dev")</f>
        <v>https://45777-e374edda6db94dbf8d5cb88a0146272e-3-latest.app.beta.mgx.dev</v>
      </c>
      <c r="N409" s="2" t="str">
        <f>=HYPERLINK("mailto:eval_67@auto.com", "eval_67@auto.com")</f>
        <v>eval_67@auto.com</v>
      </c>
      <c r="O409" t="inlineStr">
        <is>
          <t>e374edda6db94dbf8d5cb88a0146272e</t>
        </is>
      </c>
    </row>
    <row r="410" ht="25.5" customHeight="1">
      <c r="A410" t="inlineStr">
        <is>
          <t>Music Collection</t>
        </is>
      </c>
      <c r="B410">
        <v>32</v>
      </c>
      <c r="C410" t="inlineStr">
        <is>
          <t>@杨春玉</t>
        </is>
      </c>
      <c r="D410">
        <v>1</v>
      </c>
      <c r="E410"/>
      <c r="F410" t="inlineStr">
        <is>
          <t>@陈佳杰</t>
        </is>
      </c>
      <c r="G410">
        <v>1</v>
      </c>
      <c r="H410"/>
      <c r="I410">
        <v>8</v>
      </c>
      <c r="J410" t="inlineStr">
        <is>
          <t>Test if users can switch between different playlists</t>
        </is>
      </c>
      <c r="K410" t="inlineStr">
        <is>
          <t>测试用户可在不同播放列表间切换</t>
        </is>
      </c>
      <c r="L410" s="2" t="str">
        <f>=HYPERLINK("http://pre.mgx.dev/chat/e374edda6db94dbf8d5cb88a0146272e", "http://pre.mgx.dev/chat/e374edda6db94dbf8d5cb88a0146272e")</f>
        <v>http://pre.mgx.dev/chat/e374edda6db94dbf8d5cb88a0146272e</v>
      </c>
      <c r="M410" s="2" t="str">
        <f>=HYPERLINK("", "https://45777-e374edda6db94dbf8d5cb88a0146272e-3-latest.app.beta.mgx.dev")</f>
        <v>https://45777-e374edda6db94dbf8d5cb88a0146272e-3-latest.app.beta.mgx.dev</v>
      </c>
      <c r="N410" s="2" t="str">
        <f>=HYPERLINK("mailto:eval_67@auto.com", "eval_67@auto.com")</f>
        <v>eval_67@auto.com</v>
      </c>
      <c r="O410" t="inlineStr">
        <is>
          <t>e374edda6db94dbf8d5cb88a0146272e</t>
        </is>
      </c>
    </row>
    <row r="411" ht="25.5" customHeight="1">
      <c r="A411" t="inlineStr">
        <is>
          <t>Music Collection</t>
        </is>
      </c>
      <c r="B411">
        <v>32</v>
      </c>
      <c r="C411" t="inlineStr">
        <is>
          <t>@杨春玉</t>
        </is>
      </c>
      <c r="D411">
        <v>1</v>
      </c>
      <c r="E411"/>
      <c r="F411" t="inlineStr">
        <is>
          <t>@陈佳杰</t>
        </is>
      </c>
      <c r="G411">
        <v>1</v>
      </c>
      <c r="H411"/>
      <c r="I411">
        <v>9</v>
      </c>
      <c r="J411" t="inlineStr">
        <is>
          <t>Verify that categorized tags are visible on the page</t>
        </is>
      </c>
      <c r="K411" t="inlineStr">
        <is>
          <t>验证页面上展示分类标签</t>
        </is>
      </c>
      <c r="L411" s="2" t="str">
        <f>=HYPERLINK("http://pre.mgx.dev/chat/e374edda6db94dbf8d5cb88a0146272e", "http://pre.mgx.dev/chat/e374edda6db94dbf8d5cb88a0146272e")</f>
        <v>http://pre.mgx.dev/chat/e374edda6db94dbf8d5cb88a0146272e</v>
      </c>
      <c r="M411" s="2" t="str">
        <f>=HYPERLINK("", "https://45777-e374edda6db94dbf8d5cb88a0146272e-3-latest.app.beta.mgx.dev")</f>
        <v>https://45777-e374edda6db94dbf8d5cb88a0146272e-3-latest.app.beta.mgx.dev</v>
      </c>
      <c r="N411" s="2" t="str">
        <f>=HYPERLINK("mailto:eval_67@auto.com", "eval_67@auto.com")</f>
        <v>eval_67@auto.com</v>
      </c>
      <c r="O411" t="inlineStr">
        <is>
          <t>e374edda6db94dbf8d5cb88a0146272e</t>
        </is>
      </c>
    </row>
    <row r="412" ht="25.5" customHeight="1">
      <c r="A412" t="inlineStr">
        <is>
          <t>Music Collection</t>
        </is>
      </c>
      <c r="B412">
        <v>32</v>
      </c>
      <c r="C412" t="inlineStr">
        <is>
          <t>@杨春玉</t>
        </is>
      </c>
      <c r="D412">
        <v>1</v>
      </c>
      <c r="E412"/>
      <c r="F412" t="inlineStr">
        <is>
          <t>@陈佳杰</t>
        </is>
      </c>
      <c r="G412">
        <v>1</v>
      </c>
      <c r="H412"/>
      <c r="I412">
        <v>10</v>
      </c>
      <c r="J412" t="inlineStr">
        <is>
          <t>Verify that clicking on a playlist item starts playing the corresponding audio</t>
        </is>
      </c>
      <c r="K412" t="inlineStr">
        <is>
          <t>验证点击播放列表项可播放对应的音频</t>
        </is>
      </c>
      <c r="L412" s="2" t="str">
        <f>=HYPERLINK("http://pre.mgx.dev/chat/e374edda6db94dbf8d5cb88a0146272e", "http://pre.mgx.dev/chat/e374edda6db94dbf8d5cb88a0146272e")</f>
        <v>http://pre.mgx.dev/chat/e374edda6db94dbf8d5cb88a0146272e</v>
      </c>
      <c r="M412" s="2" t="str">
        <f>=HYPERLINK("", "https://45777-e374edda6db94dbf8d5cb88a0146272e-3-latest.app.beta.mgx.dev")</f>
        <v>https://45777-e374edda6db94dbf8d5cb88a0146272e-3-latest.app.beta.mgx.dev</v>
      </c>
      <c r="N412" s="2" t="str">
        <f>=HYPERLINK("mailto:eval_67@auto.com", "eval_67@auto.com")</f>
        <v>eval_67@auto.com</v>
      </c>
      <c r="O412" t="inlineStr">
        <is>
          <t>e374edda6db94dbf8d5cb88a0146272e</t>
        </is>
      </c>
    </row>
    <row r="413" ht="25.5" customHeight="1">
      <c r="A413" t="inlineStr">
        <is>
          <t>Music Collection</t>
        </is>
      </c>
      <c r="B413">
        <v>32</v>
      </c>
      <c r="C413" t="inlineStr">
        <is>
          <t>@杨春玉</t>
        </is>
      </c>
      <c r="D413">
        <v>1</v>
      </c>
      <c r="E413"/>
      <c r="F413" t="inlineStr">
        <is>
          <t>@陈佳杰</t>
        </is>
      </c>
      <c r="G413">
        <v>1</v>
      </c>
      <c r="H413"/>
      <c r="I413">
        <v>11</v>
      </c>
      <c r="J413" t="inlineStr">
        <is>
          <t>Verify that the audio player can play audio files</t>
        </is>
      </c>
      <c r="K413" t="inlineStr">
        <is>
          <t>验证音频播放器可播放音频文件</t>
        </is>
      </c>
      <c r="L413" s="2" t="str">
        <f>=HYPERLINK("http://pre.mgx.dev/chat/e374edda6db94dbf8d5cb88a0146272e", "http://pre.mgx.dev/chat/e374edda6db94dbf8d5cb88a0146272e")</f>
        <v>http://pre.mgx.dev/chat/e374edda6db94dbf8d5cb88a0146272e</v>
      </c>
      <c r="M413" s="2" t="str">
        <f>=HYPERLINK("", "https://45777-e374edda6db94dbf8d5cb88a0146272e-3-latest.app.beta.mgx.dev")</f>
        <v>https://45777-e374edda6db94dbf8d5cb88a0146272e-3-latest.app.beta.mgx.dev</v>
      </c>
      <c r="N413" s="2" t="str">
        <f>=HYPERLINK("mailto:eval_67@auto.com", "eval_67@auto.com")</f>
        <v>eval_67@auto.com</v>
      </c>
      <c r="O413" t="inlineStr">
        <is>
          <t>e374edda6db94dbf8d5cb88a0146272e</t>
        </is>
      </c>
    </row>
    <row r="414" ht="25.5" customHeight="1">
      <c r="A414" t="inlineStr">
        <is>
          <t>Music Collection</t>
        </is>
      </c>
      <c r="B414">
        <v>32</v>
      </c>
      <c r="C414" t="inlineStr">
        <is>
          <t>@杨春玉</t>
        </is>
      </c>
      <c r="D414">
        <v>1</v>
      </c>
      <c r="E414"/>
      <c r="F414" t="inlineStr">
        <is>
          <t>@陈佳杰</t>
        </is>
      </c>
      <c r="G414">
        <v>1</v>
      </c>
      <c r="H414"/>
      <c r="I414">
        <v>12</v>
      </c>
      <c r="J414" t="inlineStr">
        <is>
          <t>Verify that the audio player can return to the previous track</t>
        </is>
      </c>
      <c r="K414" t="inlineStr">
        <is>
          <t>验证音频播放器可切回上一曲目</t>
        </is>
      </c>
      <c r="L414" s="2" t="str">
        <f>=HYPERLINK("http://pre.mgx.dev/chat/e374edda6db94dbf8d5cb88a0146272e", "http://pre.mgx.dev/chat/e374edda6db94dbf8d5cb88a0146272e")</f>
        <v>http://pre.mgx.dev/chat/e374edda6db94dbf8d5cb88a0146272e</v>
      </c>
      <c r="M414" s="2" t="str">
        <f>=HYPERLINK("", "https://45777-e374edda6db94dbf8d5cb88a0146272e-3-latest.app.beta.mgx.dev")</f>
        <v>https://45777-e374edda6db94dbf8d5cb88a0146272e-3-latest.app.beta.mgx.dev</v>
      </c>
      <c r="N414" s="2" t="str">
        <f>=HYPERLINK("mailto:eval_67@auto.com", "eval_67@auto.com")</f>
        <v>eval_67@auto.com</v>
      </c>
      <c r="O414" t="inlineStr">
        <is>
          <t>e374edda6db94dbf8d5cb88a0146272e</t>
        </is>
      </c>
    </row>
    <row r="415" ht="25.5" customHeight="1">
      <c r="A415" t="inlineStr">
        <is>
          <t>Night Sky Stargazer</t>
        </is>
      </c>
      <c r="B415">
        <v>33</v>
      </c>
      <c r="C415" t="inlineStr">
        <is>
          <t>@杨春玉</t>
        </is>
      </c>
      <c r="D415">
        <v>1</v>
      </c>
      <c r="E415"/>
      <c r="F415" t="inlineStr">
        <is>
          <t>@陈佳杰</t>
        </is>
      </c>
      <c r="G415">
        <v>1</v>
      </c>
      <c r="H415"/>
      <c r="I415">
        <v>1</v>
      </c>
      <c r="J415" t="inlineStr">
        <is>
          <t>Check if celestial object information overlays can be shown and hidden</t>
        </is>
      </c>
      <c r="K415" t="inlineStr">
        <is>
          <t>检查天体信息浮层是否可显示和隐藏</t>
        </is>
      </c>
      <c r="L415" s="2" t="str">
        <f>=HYPERLINK("http://pre.mgx.dev/chat/48689c59e8e24d9b93d7006e325cfa97", "http://pre.mgx.dev/chat/48689c59e8e24d9b93d7006e325cfa97")</f>
        <v>http://pre.mgx.dev/chat/48689c59e8e24d9b93d7006e325cfa97</v>
      </c>
      <c r="M415" s="2" t="str">
        <f>=HYPERLINK("", "https://45796-48689c59e8e24d9b93d7006e325cfa97-3-latest.app.beta.mgx.dev")</f>
        <v>https://45796-48689c59e8e24d9b93d7006e325cfa97-3-latest.app.beta.mgx.dev</v>
      </c>
      <c r="N415" s="2" t="str">
        <f>=HYPERLINK("mailto:eval_86@auto.com", "eval_86@auto.com")</f>
        <v>eval_86@auto.com</v>
      </c>
      <c r="O415" t="inlineStr">
        <is>
          <t>48689c59e8e24d9b93d7006e325cfa97</t>
        </is>
      </c>
    </row>
    <row r="416" ht="25.5" customHeight="1">
      <c r="A416" t="inlineStr">
        <is>
          <t>Night Sky Stargazer</t>
        </is>
      </c>
      <c r="B416">
        <v>33</v>
      </c>
      <c r="C416" t="inlineStr">
        <is>
          <t>@杨春玉</t>
        </is>
      </c>
      <c r="D416">
        <v>0</v>
      </c>
      <c r="E416" t="inlineStr">
        <is>
          <t>点击星座线条时不展示星座信息</t>
        </is>
      </c>
      <c r="F416" t="inlineStr">
        <is>
          <t>@陈佳杰</t>
        </is>
      </c>
      <c r="G416">
        <v>0</v>
      </c>
      <c r="H416" t="inlineStr">
        <is>
          <t>不展示信息</t>
        </is>
      </c>
      <c r="I416">
        <v>2</v>
      </c>
      <c r="J416" t="inlineStr">
        <is>
          <t>Check if constellation information is shown when clicking on constellation lines</t>
        </is>
      </c>
      <c r="K416" t="inlineStr">
        <is>
          <t>检查点击星座线条时是否展示星座信息</t>
        </is>
      </c>
      <c r="L416" s="2" t="str">
        <f>=HYPERLINK("http://pre.mgx.dev/chat/48689c59e8e24d9b93d7006e325cfa97", "http://pre.mgx.dev/chat/48689c59e8e24d9b93d7006e325cfa97")</f>
        <v>http://pre.mgx.dev/chat/48689c59e8e24d9b93d7006e325cfa97</v>
      </c>
      <c r="M416" s="2" t="str">
        <f>=HYPERLINK("", "https://45796-48689c59e8e24d9b93d7006e325cfa97-3-latest.app.beta.mgx.dev")</f>
        <v>https://45796-48689c59e8e24d9b93d7006e325cfa97-3-latest.app.beta.mgx.dev</v>
      </c>
      <c r="N416" s="2" t="str">
        <f>=HYPERLINK("mailto:eval_86@auto.com", "eval_86@auto.com")</f>
        <v>eval_86@auto.com</v>
      </c>
      <c r="O416" t="inlineStr">
        <is>
          <t>48689c59e8e24d9b93d7006e325cfa97</t>
        </is>
      </c>
    </row>
    <row r="417" ht="25.5" customHeight="1">
      <c r="A417" t="inlineStr">
        <is>
          <t>Night Sky Stargazer</t>
        </is>
      </c>
      <c r="B417">
        <v>33</v>
      </c>
      <c r="C417" t="inlineStr">
        <is>
          <t>@杨春玉</t>
        </is>
      </c>
      <c r="D417">
        <v>0</v>
      </c>
      <c r="E417" t="inlineStr">
        <is>
          <t>未存储在数据库</t>
        </is>
      </c>
      <c r="F417" t="inlineStr">
        <is>
          <t>@陈佳杰</t>
        </is>
      </c>
      <c r="G417">
        <v>0</v>
      </c>
      <c r="H417" t="inlineStr">
        <is>
          <t>未链接后端，无法存储在数据库</t>
        </is>
      </c>
      <c r="I417">
        <v>3</v>
      </c>
      <c r="J417" t="inlineStr">
        <is>
          <t>Check if planet information is stored and accessible in the database</t>
        </is>
      </c>
      <c r="K417" t="inlineStr">
        <is>
          <t>检查行星信息是否存储在数据库中且可访问</t>
        </is>
      </c>
      <c r="L417" s="2" t="str">
        <f>=HYPERLINK("http://pre.mgx.dev/chat/48689c59e8e24d9b93d7006e325cfa97", "http://pre.mgx.dev/chat/48689c59e8e24d9b93d7006e325cfa97")</f>
        <v>http://pre.mgx.dev/chat/48689c59e8e24d9b93d7006e325cfa97</v>
      </c>
      <c r="M417" s="2" t="str">
        <f>=HYPERLINK("", "https://45796-48689c59e8e24d9b93d7006e325cfa97-3-latest.app.beta.mgx.dev")</f>
        <v>https://45796-48689c59e8e24d9b93d7006e325cfa97-3-latest.app.beta.mgx.dev</v>
      </c>
      <c r="N417" s="2" t="str">
        <f>=HYPERLINK("mailto:eval_86@auto.com", "eval_86@auto.com")</f>
        <v>eval_86@auto.com</v>
      </c>
      <c r="O417" t="inlineStr">
        <is>
          <t>48689c59e8e24d9b93d7006e325cfa97</t>
        </is>
      </c>
    </row>
    <row r="418" ht="25.5" customHeight="1">
      <c r="A418" t="inlineStr">
        <is>
          <t>Night Sky Stargazer</t>
        </is>
      </c>
      <c r="B418">
        <v>33</v>
      </c>
      <c r="C418" t="inlineStr">
        <is>
          <t>@杨春玉</t>
        </is>
      </c>
      <c r="D418">
        <v>1</v>
      </c>
      <c r="E418"/>
      <c r="F418" t="inlineStr">
        <is>
          <t>@陈佳杰</t>
        </is>
      </c>
      <c r="G418">
        <v>1</v>
      </c>
      <c r="H418"/>
      <c r="I418">
        <v>4</v>
      </c>
      <c r="J418" t="inlineStr">
        <is>
          <t>Check if the star map updates correctly when a new date is selected</t>
        </is>
      </c>
      <c r="K418" t="inlineStr">
        <is>
          <t>检查选择新日期后星图是否正确更新</t>
        </is>
      </c>
      <c r="L418" s="2" t="str">
        <f>=HYPERLINK("http://pre.mgx.dev/chat/48689c59e8e24d9b93d7006e325cfa97", "http://pre.mgx.dev/chat/48689c59e8e24d9b93d7006e325cfa97")</f>
        <v>http://pre.mgx.dev/chat/48689c59e8e24d9b93d7006e325cfa97</v>
      </c>
      <c r="M418" s="2" t="str">
        <f>=HYPERLINK("", "https://45796-48689c59e8e24d9b93d7006e325cfa97-3-latest.app.beta.mgx.dev")</f>
        <v>https://45796-48689c59e8e24d9b93d7006e325cfa97-3-latest.app.beta.mgx.dev</v>
      </c>
      <c r="N418" s="2" t="str">
        <f>=HYPERLINK("mailto:eval_86@auto.com", "eval_86@auto.com")</f>
        <v>eval_86@auto.com</v>
      </c>
      <c r="O418" t="inlineStr">
        <is>
          <t>48689c59e8e24d9b93d7006e325cfa97</t>
        </is>
      </c>
    </row>
    <row r="419" ht="25.5" customHeight="1">
      <c r="A419" t="inlineStr">
        <is>
          <t>Night Sky Stargazer</t>
        </is>
      </c>
      <c r="B419">
        <v>33</v>
      </c>
      <c r="C419" t="inlineStr">
        <is>
          <t>@杨春玉</t>
        </is>
      </c>
      <c r="D419">
        <v>0</v>
      </c>
      <c r="E419" t="inlineStr">
        <is>
          <t>无法平移</t>
        </is>
      </c>
      <c r="F419" t="inlineStr">
        <is>
          <t>@陈佳杰</t>
        </is>
      </c>
      <c r="G419">
        <v>0</v>
      </c>
      <c r="H419" t="inlineStr">
        <is>
          <t>无法平移</t>
        </is>
      </c>
      <c r="I419">
        <v>5</v>
      </c>
      <c r="J419" t="inlineStr">
        <is>
          <t>Check if the star map updates smoothly when panning and zooming</t>
        </is>
      </c>
      <c r="K419" t="inlineStr">
        <is>
          <t>检查平移和缩放时星图是否流畅更新</t>
        </is>
      </c>
      <c r="L419" s="2" t="str">
        <f>=HYPERLINK("http://pre.mgx.dev/chat/48689c59e8e24d9b93d7006e325cfa97", "http://pre.mgx.dev/chat/48689c59e8e24d9b93d7006e325cfa97")</f>
        <v>http://pre.mgx.dev/chat/48689c59e8e24d9b93d7006e325cfa97</v>
      </c>
      <c r="M419" s="2" t="str">
        <f>=HYPERLINK("", "https://45796-48689c59e8e24d9b93d7006e325cfa97-3-latest.app.beta.mgx.dev")</f>
        <v>https://45796-48689c59e8e24d9b93d7006e325cfa97-3-latest.app.beta.mgx.dev</v>
      </c>
      <c r="N419" s="2" t="str">
        <f>=HYPERLINK("mailto:eval_86@auto.com", "eval_86@auto.com")</f>
        <v>eval_86@auto.com</v>
      </c>
      <c r="O419" t="inlineStr">
        <is>
          <t>48689c59e8e24d9b93d7006e325cfa97</t>
        </is>
      </c>
    </row>
    <row r="420" ht="25.5" customHeight="1">
      <c r="A420" t="inlineStr">
        <is>
          <t>Night Sky Stargazer</t>
        </is>
      </c>
      <c r="B420">
        <v>33</v>
      </c>
      <c r="C420" t="inlineStr">
        <is>
          <t>@杨春玉</t>
        </is>
      </c>
      <c r="D420">
        <v>1</v>
      </c>
      <c r="E420"/>
      <c r="F420" t="inlineStr">
        <is>
          <t>@陈佳杰</t>
        </is>
      </c>
      <c r="G420">
        <v>1</v>
      </c>
      <c r="H420"/>
      <c r="I420">
        <v>6</v>
      </c>
      <c r="J420" t="inlineStr">
        <is>
          <t>Ensure that multiple layers can be toggled simultaneously</t>
        </is>
      </c>
      <c r="K420" t="inlineStr">
        <is>
          <t>确保可同时切换多个图层</t>
        </is>
      </c>
      <c r="L420" s="2" t="str">
        <f>=HYPERLINK("http://pre.mgx.dev/chat/48689c59e8e24d9b93d7006e325cfa97", "http://pre.mgx.dev/chat/48689c59e8e24d9b93d7006e325cfa97")</f>
        <v>http://pre.mgx.dev/chat/48689c59e8e24d9b93d7006e325cfa97</v>
      </c>
      <c r="M420" s="2" t="str">
        <f>=HYPERLINK("", "https://45796-48689c59e8e24d9b93d7006e325cfa97-3-latest.app.beta.mgx.dev")</f>
        <v>https://45796-48689c59e8e24d9b93d7006e325cfa97-3-latest.app.beta.mgx.dev</v>
      </c>
      <c r="N420" s="2" t="str">
        <f>=HYPERLINK("mailto:eval_86@auto.com", "eval_86@auto.com")</f>
        <v>eval_86@auto.com</v>
      </c>
      <c r="O420" t="inlineStr">
        <is>
          <t>48689c59e8e24d9b93d7006e325cfa97</t>
        </is>
      </c>
    </row>
    <row r="421" ht="25.5" customHeight="1">
      <c r="A421" t="inlineStr">
        <is>
          <t>Night Sky Stargazer</t>
        </is>
      </c>
      <c r="B421">
        <v>33</v>
      </c>
      <c r="C421" t="inlineStr">
        <is>
          <t>@杨春玉</t>
        </is>
      </c>
      <c r="D421">
        <v>0</v>
      </c>
      <c r="E421" t="inlineStr">
        <is>
          <t>没有信息卡片</t>
        </is>
      </c>
      <c r="F421" t="inlineStr">
        <is>
          <t>@陈佳杰</t>
        </is>
      </c>
      <c r="G421">
        <v>0</v>
      </c>
      <c r="H421" t="inlineStr">
        <is>
          <t>没有信息卡片</t>
        </is>
      </c>
      <c r="I421">
        <v>7</v>
      </c>
      <c r="J421" t="inlineStr">
        <is>
          <t>Ensure that the information cards contain accurate data from the celestial object database</t>
        </is>
      </c>
      <c r="K421" t="inlineStr">
        <is>
          <t>确保信息卡片包含来自天体数据库的准确数据</t>
        </is>
      </c>
      <c r="L421" s="2" t="str">
        <f>=HYPERLINK("http://pre.mgx.dev/chat/48689c59e8e24d9b93d7006e325cfa97", "http://pre.mgx.dev/chat/48689c59e8e24d9b93d7006e325cfa97")</f>
        <v>http://pre.mgx.dev/chat/48689c59e8e24d9b93d7006e325cfa97</v>
      </c>
      <c r="M421" s="2" t="str">
        <f>=HYPERLINK("", "https://45796-48689c59e8e24d9b93d7006e325cfa97-3-latest.app.beta.mgx.dev")</f>
        <v>https://45796-48689c59e8e24d9b93d7006e325cfa97-3-latest.app.beta.mgx.dev</v>
      </c>
      <c r="N421" s="2" t="str">
        <f>=HYPERLINK("mailto:eval_86@auto.com", "eval_86@auto.com")</f>
        <v>eval_86@auto.com</v>
      </c>
      <c r="O421" t="inlineStr">
        <is>
          <t>48689c59e8e24d9b93d7006e325cfa97</t>
        </is>
      </c>
    </row>
    <row r="422" ht="25.5" customHeight="1">
      <c r="A422" t="inlineStr">
        <is>
          <t>Night Sky Stargazer</t>
        </is>
      </c>
      <c r="B422">
        <v>33</v>
      </c>
      <c r="C422" t="inlineStr">
        <is>
          <t>@杨春玉</t>
        </is>
      </c>
      <c r="D422">
        <v>0</v>
      </c>
      <c r="E422" t="inlineStr">
        <is>
          <t>没有信息卡片</t>
        </is>
      </c>
      <c r="F422" t="inlineStr">
        <is>
          <t>@陈佳杰</t>
        </is>
      </c>
      <c r="G422">
        <v>0</v>
      </c>
      <c r="H422" t="inlineStr">
        <is>
          <t>没有信息卡片</t>
        </is>
      </c>
      <c r="I422">
        <v>8</v>
      </c>
      <c r="J422" t="inlineStr">
        <is>
          <t>Test if clicking on a star in the map displays its information card</t>
        </is>
      </c>
      <c r="K422" t="inlineStr">
        <is>
          <t>测试点击星图中的恒星是否展示其信息卡片</t>
        </is>
      </c>
      <c r="L422" s="2" t="str">
        <f>=HYPERLINK("http://pre.mgx.dev/chat/48689c59e8e24d9b93d7006e325cfa97", "http://pre.mgx.dev/chat/48689c59e8e24d9b93d7006e325cfa97")</f>
        <v>http://pre.mgx.dev/chat/48689c59e8e24d9b93d7006e325cfa97</v>
      </c>
      <c r="M422" s="2" t="str">
        <f>=HYPERLINK("", "https://45796-48689c59e8e24d9b93d7006e325cfa97-3-latest.app.beta.mgx.dev")</f>
        <v>https://45796-48689c59e8e24d9b93d7006e325cfa97-3-latest.app.beta.mgx.dev</v>
      </c>
      <c r="N422" s="2" t="str">
        <f>=HYPERLINK("mailto:eval_86@auto.com", "eval_86@auto.com")</f>
        <v>eval_86@auto.com</v>
      </c>
      <c r="O422" t="inlineStr">
        <is>
          <t>48689c59e8e24d9b93d7006e325cfa97</t>
        </is>
      </c>
    </row>
    <row r="423" ht="25.5" customHeight="1">
      <c r="A423" t="inlineStr">
        <is>
          <t>Night Sky Stargazer</t>
        </is>
      </c>
      <c r="B423">
        <v>33</v>
      </c>
      <c r="C423" t="inlineStr">
        <is>
          <t>@杨春玉</t>
        </is>
      </c>
      <c r="D423">
        <v>0</v>
      </c>
      <c r="E423" t="inlineStr">
        <is>
          <t>未存储在数据库</t>
        </is>
      </c>
      <c r="F423" t="inlineStr">
        <is>
          <t>@陈佳杰</t>
        </is>
      </c>
      <c r="G423">
        <v>0</v>
      </c>
      <c r="H423" t="inlineStr">
        <is>
          <t>未链接后端，无法存储在数据库</t>
        </is>
      </c>
      <c r="I423">
        <v>9</v>
      </c>
      <c r="J423" t="inlineStr">
        <is>
          <t>Test if constellation data is properly stored and can be retrieved</t>
        </is>
      </c>
      <c r="K423" t="inlineStr">
        <is>
          <t>测试星座数据是否正确存储且可调取</t>
        </is>
      </c>
      <c r="L423" s="2" t="str">
        <f>=HYPERLINK("http://pre.mgx.dev/chat/48689c59e8e24d9b93d7006e325cfa97", "http://pre.mgx.dev/chat/48689c59e8e24d9b93d7006e325cfa97")</f>
        <v>http://pre.mgx.dev/chat/48689c59e8e24d9b93d7006e325cfa97</v>
      </c>
      <c r="M423" s="2" t="str">
        <f>=HYPERLINK("", "https://45796-48689c59e8e24d9b93d7006e325cfa97-3-latest.app.beta.mgx.dev")</f>
        <v>https://45796-48689c59e8e24d9b93d7006e325cfa97-3-latest.app.beta.mgx.dev</v>
      </c>
      <c r="N423" s="2" t="str">
        <f>=HYPERLINK("mailto:eval_86@auto.com", "eval_86@auto.com")</f>
        <v>eval_86@auto.com</v>
      </c>
      <c r="O423" t="inlineStr">
        <is>
          <t>48689c59e8e24d9b93d7006e325cfa97</t>
        </is>
      </c>
    </row>
    <row r="424" ht="25.5" customHeight="1">
      <c r="A424" t="inlineStr">
        <is>
          <t>Night Sky Stargazer</t>
        </is>
      </c>
      <c r="B424">
        <v>33</v>
      </c>
      <c r="C424" t="inlineStr">
        <is>
          <t>@杨春玉</t>
        </is>
      </c>
      <c r="D424">
        <v>1</v>
      </c>
      <c r="E424"/>
      <c r="F424" t="inlineStr">
        <is>
          <t>@陈佳杰</t>
        </is>
      </c>
      <c r="G424">
        <v>1</v>
      </c>
      <c r="H424"/>
      <c r="I424">
        <v>10</v>
      </c>
      <c r="J424" t="inlineStr">
        <is>
          <t>Test if the date picker control is present and functional</t>
        </is>
      </c>
      <c r="K424" t="inlineStr">
        <is>
          <t>测试日期选择器控件存在且功能正常</t>
        </is>
      </c>
      <c r="L424" s="2" t="str">
        <f>=HYPERLINK("http://pre.mgx.dev/chat/48689c59e8e24d9b93d7006e325cfa97", "http://pre.mgx.dev/chat/48689c59e8e24d9b93d7006e325cfa97")</f>
        <v>http://pre.mgx.dev/chat/48689c59e8e24d9b93d7006e325cfa97</v>
      </c>
      <c r="M424" s="2" t="str">
        <f>=HYPERLINK("", "https://45796-48689c59e8e24d9b93d7006e325cfa97-3-latest.app.beta.mgx.dev")</f>
        <v>https://45796-48689c59e8e24d9b93d7006e325cfa97-3-latest.app.beta.mgx.dev</v>
      </c>
      <c r="N424" s="2" t="str">
        <f>=HYPERLINK("mailto:eval_86@auto.com", "eval_86@auto.com")</f>
        <v>eval_86@auto.com</v>
      </c>
      <c r="O424" t="inlineStr">
        <is>
          <t>48689c59e8e24d9b93d7006e325cfa97</t>
        </is>
      </c>
    </row>
    <row r="425" ht="25.5" customHeight="1">
      <c r="A425" t="inlineStr">
        <is>
          <t>Night Sky Stargazer</t>
        </is>
      </c>
      <c r="B425">
        <v>33</v>
      </c>
      <c r="C425" t="inlineStr">
        <is>
          <t>@杨春玉</t>
        </is>
      </c>
      <c r="D425">
        <v>0</v>
      </c>
      <c r="E425" t="inlineStr">
        <is>
          <t>无法平移</t>
        </is>
      </c>
      <c r="F425" t="inlineStr">
        <is>
          <t>@陈佳杰</t>
        </is>
      </c>
      <c r="G425">
        <v>0</v>
      </c>
      <c r="H425" t="inlineStr">
        <is>
          <t>无法平移</t>
        </is>
      </c>
      <c r="I425">
        <v>11</v>
      </c>
      <c r="J425" t="inlineStr">
        <is>
          <t>Test panning functionality of the star map using mouse drag</t>
        </is>
      </c>
      <c r="K425" t="inlineStr">
        <is>
          <t>测试使用鼠标拖拽平移星图的功能</t>
        </is>
      </c>
      <c r="L425" s="2" t="str">
        <f>=HYPERLINK("http://pre.mgx.dev/chat/48689c59e8e24d9b93d7006e325cfa97", "http://pre.mgx.dev/chat/48689c59e8e24d9b93d7006e325cfa97")</f>
        <v>http://pre.mgx.dev/chat/48689c59e8e24d9b93d7006e325cfa97</v>
      </c>
      <c r="M425" s="2" t="str">
        <f>=HYPERLINK("", "https://45796-48689c59e8e24d9b93d7006e325cfa97-3-latest.app.beta.mgx.dev")</f>
        <v>https://45796-48689c59e8e24d9b93d7006e325cfa97-3-latest.app.beta.mgx.dev</v>
      </c>
      <c r="N425" s="2" t="str">
        <f>=HYPERLINK("mailto:eval_86@auto.com", "eval_86@auto.com")</f>
        <v>eval_86@auto.com</v>
      </c>
      <c r="O425" t="inlineStr">
        <is>
          <t>48689c59e8e24d9b93d7006e325cfa97</t>
        </is>
      </c>
    </row>
    <row r="426" ht="25.5" customHeight="1">
      <c r="A426" t="inlineStr">
        <is>
          <t>Night Sky Stargazer</t>
        </is>
      </c>
      <c r="B426">
        <v>33</v>
      </c>
      <c r="C426" t="inlineStr">
        <is>
          <t>@杨春玉</t>
        </is>
      </c>
      <c r="D426">
        <v>1</v>
      </c>
      <c r="E426"/>
      <c r="F426" t="inlineStr">
        <is>
          <t>@陈佳杰</t>
        </is>
      </c>
      <c r="G426">
        <v>1</v>
      </c>
      <c r="H426"/>
      <c r="I426">
        <v>12</v>
      </c>
      <c r="J426" t="inlineStr">
        <is>
          <t>Test toggling star names visibility</t>
        </is>
      </c>
      <c r="K426" t="inlineStr">
        <is>
          <t>测试切换恒星名称的显示/隐藏状态</t>
        </is>
      </c>
      <c r="L426" s="2" t="str">
        <f>=HYPERLINK("http://pre.mgx.dev/chat/48689c59e8e24d9b93d7006e325cfa97", "http://pre.mgx.dev/chat/48689c59e8e24d9b93d7006e325cfa97")</f>
        <v>http://pre.mgx.dev/chat/48689c59e8e24d9b93d7006e325cfa97</v>
      </c>
      <c r="M426" s="2" t="str">
        <f>=HYPERLINK("", "https://45796-48689c59e8e24d9b93d7006e325cfa97-3-latest.app.beta.mgx.dev")</f>
        <v>https://45796-48689c59e8e24d9b93d7006e325cfa97-3-latest.app.beta.mgx.dev</v>
      </c>
      <c r="N426" s="2" t="str">
        <f>=HYPERLINK("mailto:eval_86@auto.com", "eval_86@auto.com")</f>
        <v>eval_86@auto.com</v>
      </c>
      <c r="O426" t="inlineStr">
        <is>
          <t>48689c59e8e24d9b93d7006e325cfa97</t>
        </is>
      </c>
    </row>
    <row r="427" ht="25.5" customHeight="1">
      <c r="A427" t="inlineStr">
        <is>
          <t>Night Sky Stargazer</t>
        </is>
      </c>
      <c r="B427">
        <v>33</v>
      </c>
      <c r="C427" t="inlineStr">
        <is>
          <t>@杨春玉</t>
        </is>
      </c>
      <c r="D427">
        <v>1</v>
      </c>
      <c r="E427"/>
      <c r="F427" t="inlineStr">
        <is>
          <t>@陈佳杰</t>
        </is>
      </c>
      <c r="G427">
        <v>0</v>
      </c>
      <c r="H427" t="inlineStr">
        <is>
          <t>无此交互</t>
        </is>
      </c>
      <c r="I427">
        <v>13</v>
      </c>
      <c r="J427" t="inlineStr">
        <is>
          <t>Test zooming in and out of the star map using mouse scroll</t>
        </is>
      </c>
      <c r="K427" t="inlineStr">
        <is>
          <t>测试使用鼠标滚轮放大缩小星图</t>
        </is>
      </c>
      <c r="L427" s="2" t="str">
        <f>=HYPERLINK("http://pre.mgx.dev/chat/48689c59e8e24d9b93d7006e325cfa97", "http://pre.mgx.dev/chat/48689c59e8e24d9b93d7006e325cfa97")</f>
        <v>http://pre.mgx.dev/chat/48689c59e8e24d9b93d7006e325cfa97</v>
      </c>
      <c r="M427" s="2" t="str">
        <f>=HYPERLINK("", "https://45796-48689c59e8e24d9b93d7006e325cfa97-3-latest.app.beta.mgx.dev")</f>
        <v>https://45796-48689c59e8e24d9b93d7006e325cfa97-3-latest.app.beta.mgx.dev</v>
      </c>
      <c r="N427" s="2" t="str">
        <f>=HYPERLINK("mailto:eval_86@auto.com", "eval_86@auto.com")</f>
        <v>eval_86@auto.com</v>
      </c>
      <c r="O427" t="inlineStr">
        <is>
          <t>48689c59e8e24d9b93d7006e325cfa97</t>
        </is>
      </c>
    </row>
    <row r="428" ht="25.5" customHeight="1">
      <c r="A428" t="inlineStr">
        <is>
          <t>Night Sky Stargazer</t>
        </is>
      </c>
      <c r="B428">
        <v>33</v>
      </c>
      <c r="C428" t="inlineStr">
        <is>
          <t>@杨春玉</t>
        </is>
      </c>
      <c r="D428">
        <v>1</v>
      </c>
      <c r="E428"/>
      <c r="F428" t="inlineStr">
        <is>
          <t>@陈佳杰</t>
        </is>
      </c>
      <c r="G428">
        <v>0</v>
      </c>
      <c r="H428" t="inlineStr">
        <is>
          <t>无法关闭</t>
        </is>
      </c>
      <c r="I428">
        <v>14</v>
      </c>
      <c r="J428" t="inlineStr">
        <is>
          <t>Verify that constellation lines can be toggled on and off</t>
        </is>
      </c>
      <c r="K428" t="inlineStr">
        <is>
          <t>验证星座线条可开启和关闭</t>
        </is>
      </c>
      <c r="L428" s="2" t="str">
        <f>=HYPERLINK("http://pre.mgx.dev/chat/48689c59e8e24d9b93d7006e325cfa97", "http://pre.mgx.dev/chat/48689c59e8e24d9b93d7006e325cfa97")</f>
        <v>http://pre.mgx.dev/chat/48689c59e8e24d9b93d7006e325cfa97</v>
      </c>
      <c r="M428" s="2" t="str">
        <f>=HYPERLINK("", "https://45796-48689c59e8e24d9b93d7006e325cfa97-3-latest.app.beta.mgx.dev")</f>
        <v>https://45796-48689c59e8e24d9b93d7006e325cfa97-3-latest.app.beta.mgx.dev</v>
      </c>
      <c r="N428" s="2" t="str">
        <f>=HYPERLINK("mailto:eval_86@auto.com", "eval_86@auto.com")</f>
        <v>eval_86@auto.com</v>
      </c>
      <c r="O428" t="inlineStr">
        <is>
          <t>48689c59e8e24d9b93d7006e325cfa97</t>
        </is>
      </c>
    </row>
    <row r="429" ht="25.5" customHeight="1">
      <c r="A429" t="inlineStr">
        <is>
          <t>Night Sky Stargazer</t>
        </is>
      </c>
      <c r="B429">
        <v>33</v>
      </c>
      <c r="C429" t="inlineStr">
        <is>
          <t>@杨春玉</t>
        </is>
      </c>
      <c r="D429">
        <v>0</v>
      </c>
      <c r="E429" t="inlineStr">
        <is>
          <t>没有信息卡片</t>
        </is>
      </c>
      <c r="F429" t="inlineStr">
        <is>
          <t>@陈佳杰</t>
        </is>
      </c>
      <c r="G429">
        <v>0</v>
      </c>
      <c r="H429" t="inlineStr">
        <is>
          <t>没有信息卡片</t>
        </is>
      </c>
      <c r="I429">
        <v>15</v>
      </c>
      <c r="J429" t="inlineStr">
        <is>
          <t>Verify that planet information cards appear when planets are clicked</t>
        </is>
      </c>
      <c r="K429" t="inlineStr">
        <is>
          <t>验证点击行星时弹出行星信息卡片</t>
        </is>
      </c>
      <c r="L429" s="2" t="str">
        <f>=HYPERLINK("http://pre.mgx.dev/chat/48689c59e8e24d9b93d7006e325cfa97", "http://pre.mgx.dev/chat/48689c59e8e24d9b93d7006e325cfa97")</f>
        <v>http://pre.mgx.dev/chat/48689c59e8e24d9b93d7006e325cfa97</v>
      </c>
      <c r="M429" s="2" t="str">
        <f>=HYPERLINK("", "https://45796-48689c59e8e24d9b93d7006e325cfa97-3-latest.app.beta.mgx.dev")</f>
        <v>https://45796-48689c59e8e24d9b93d7006e325cfa97-3-latest.app.beta.mgx.dev</v>
      </c>
      <c r="N429" s="2" t="str">
        <f>=HYPERLINK("mailto:eval_86@auto.com", "eval_86@auto.com")</f>
        <v>eval_86@auto.com</v>
      </c>
      <c r="O429" t="inlineStr">
        <is>
          <t>48689c59e8e24d9b93d7006e325cfa97</t>
        </is>
      </c>
    </row>
    <row r="430" ht="25.5" customHeight="1">
      <c r="A430" t="inlineStr">
        <is>
          <t>Night Sky Stargazer</t>
        </is>
      </c>
      <c r="B430">
        <v>33</v>
      </c>
      <c r="C430" t="inlineStr">
        <is>
          <t>@杨春玉</t>
        </is>
      </c>
      <c r="D430">
        <v>1</v>
      </c>
      <c r="E430"/>
      <c r="F430" t="inlineStr">
        <is>
          <t>@陈佳杰</t>
        </is>
      </c>
      <c r="G430">
        <v>1</v>
      </c>
      <c r="H430"/>
      <c r="I430">
        <v>16</v>
      </c>
      <c r="J430" t="inlineStr">
        <is>
          <t>Verify that the time picker control is available and working</t>
        </is>
      </c>
      <c r="K430" t="inlineStr">
        <is>
          <t>验证时间选择器控件存在且功能正常</t>
        </is>
      </c>
      <c r="L430" s="2" t="str">
        <f>=HYPERLINK("http://pre.mgx.dev/chat/48689c59e8e24d9b93d7006e325cfa97", "http://pre.mgx.dev/chat/48689c59e8e24d9b93d7006e325cfa97")</f>
        <v>http://pre.mgx.dev/chat/48689c59e8e24d9b93d7006e325cfa97</v>
      </c>
      <c r="M430" s="2" t="str">
        <f>=HYPERLINK("", "https://45796-48689c59e8e24d9b93d7006e325cfa97-3-latest.app.beta.mgx.dev")</f>
        <v>https://45796-48689c59e8e24d9b93d7006e325cfa97-3-latest.app.beta.mgx.dev</v>
      </c>
      <c r="N430" s="2" t="str">
        <f>=HYPERLINK("mailto:eval_86@auto.com", "eval_86@auto.com")</f>
        <v>eval_86@auto.com</v>
      </c>
      <c r="O430" t="inlineStr">
        <is>
          <t>48689c59e8e24d9b93d7006e325cfa97</t>
        </is>
      </c>
    </row>
    <row r="431" ht="25.5" customHeight="1">
      <c r="A431" t="inlineStr">
        <is>
          <t>Night Sky Stargazer</t>
        </is>
      </c>
      <c r="B431">
        <v>33</v>
      </c>
      <c r="C431" t="inlineStr">
        <is>
          <t>@杨春玉</t>
        </is>
      </c>
      <c r="D431">
        <v>0</v>
      </c>
      <c r="E431" t="inlineStr">
        <is>
          <t>无法平移</t>
        </is>
      </c>
      <c r="F431" t="inlineStr">
        <is>
          <t>@陈佳杰</t>
        </is>
      </c>
      <c r="G431">
        <v>0</v>
      </c>
      <c r="H431" t="inlineStr">
        <is>
          <t>无法平移</t>
        </is>
      </c>
      <c r="I431">
        <v>17</v>
      </c>
      <c r="J431" t="inlineStr">
        <is>
          <t>Verify that touch controls (pinch to zoom, swipe to pan) work on touch-enabled devices</t>
        </is>
      </c>
      <c r="K431" t="inlineStr">
        <is>
          <t>验证触控设备上的触控操作（捏合缩放、滑动平移）正常</t>
        </is>
      </c>
      <c r="L431" s="2" t="str">
        <f>=HYPERLINK("http://pre.mgx.dev/chat/48689c59e8e24d9b93d7006e325cfa97", "http://pre.mgx.dev/chat/48689c59e8e24d9b93d7006e325cfa97")</f>
        <v>http://pre.mgx.dev/chat/48689c59e8e24d9b93d7006e325cfa97</v>
      </c>
      <c r="M431" s="2" t="str">
        <f>=HYPERLINK("", "https://45796-48689c59e8e24d9b93d7006e325cfa97-3-latest.app.beta.mgx.dev")</f>
        <v>https://45796-48689c59e8e24d9b93d7006e325cfa97-3-latest.app.beta.mgx.dev</v>
      </c>
      <c r="N431" s="2" t="str">
        <f>=HYPERLINK("mailto:eval_86@auto.com", "eval_86@auto.com")</f>
        <v>eval_86@auto.com</v>
      </c>
      <c r="O431" t="inlineStr">
        <is>
          <t>48689c59e8e24d9b93d7006e325cfa97</t>
        </is>
      </c>
    </row>
    <row r="432" ht="25.5" customHeight="1">
      <c r="A432" t="inlineStr">
        <is>
          <t>OfficeEmployeeTaskAllocator</t>
        </is>
      </c>
      <c r="B432">
        <v>34</v>
      </c>
      <c r="C432" t="inlineStr">
        <is>
          <t>@杨春玉</t>
        </is>
      </c>
      <c r="D432">
        <v>1</v>
      </c>
      <c r="E432"/>
      <c r="F432" t="inlineStr">
        <is>
          <t>@陈佳杰</t>
        </is>
      </c>
      <c r="G432">
        <v>1</v>
      </c>
      <c r="H432"/>
      <c r="I432">
        <v>1</v>
      </c>
      <c r="J432" t="inlineStr">
        <is>
          <t>Check if existing employee profiles can be updated</t>
        </is>
      </c>
      <c r="K432" t="inlineStr">
        <is>
          <t>检查是否可更新现有员工档案</t>
        </is>
      </c>
      <c r="L432" s="2" t="str">
        <f>=HYPERLINK("https://atoms.dev/chat/4a0d7fc6f5ba4b3681f31a9b5dffc2ea", "https://atoms.dev/chat/4a0d7fc6f5ba4b3681f31a9b5dffc2ea")</f>
        <v>https://atoms.dev/chat/4a0d7fc6f5ba4b3681f31a9b5dffc2ea</v>
      </c>
      <c r="M432" s="2" t="str">
        <f>=HYPERLINK("https://890127-4a0d7fc6f5ba4b3681f31a9b5dffc2ea-3-latest.app.atoms.dev/", "https://890127-4a0d7fc6f5ba4b3681f31a9b5dffc2ea-3-latest.app.atoms.dev/")</f>
        <v>https://890127-4a0d7fc6f5ba4b3681f31a9b5dffc2ea-3-latest.app.atoms.dev/</v>
      </c>
      <c r="N432" s="2" t="str">
        <f>=HYPERLINK("http://press_test6@mgx.dev", "press_test6@mgx.dev")</f>
        <v>press_test6@mgx.dev</v>
      </c>
      <c r="O432" t="inlineStr">
        <is>
          <t>4a0d7fc6f5ba4b3681f31a9b5dffc2ea</t>
        </is>
      </c>
    </row>
    <row r="433" ht="25.5" customHeight="1">
      <c r="A433" t="inlineStr">
        <is>
          <t>OfficeEmployeeTaskAllocator</t>
        </is>
      </c>
      <c r="B433">
        <v>34</v>
      </c>
      <c r="C433" t="inlineStr">
        <is>
          <t>@杨春玉</t>
        </is>
      </c>
      <c r="D433">
        <v>1</v>
      </c>
      <c r="E433"/>
      <c r="F433" t="inlineStr">
        <is>
          <t>@陈佳杰</t>
        </is>
      </c>
      <c r="G433">
        <v>1</v>
      </c>
      <c r="H433"/>
      <c r="I433">
        <v>2</v>
      </c>
      <c r="J433" t="inlineStr">
        <is>
          <t>Check if the dashboard displays deadline alerts for upcoming or overdue tasks</t>
        </is>
      </c>
      <c r="K433" t="inlineStr">
        <is>
          <t>检查数据面板是否展示即将到期或逾期任务的截止提醒</t>
        </is>
      </c>
      <c r="L433" s="2" t="str">
        <f>=HYPERLINK("https://atoms.dev/chat/4a0d7fc6f5ba4b3681f31a9b5dffc2ea", "https://atoms.dev/chat/4a0d7fc6f5ba4b3681f31a9b5dffc2ea")</f>
        <v>https://atoms.dev/chat/4a0d7fc6f5ba4b3681f31a9b5dffc2ea</v>
      </c>
      <c r="M433" s="2" t="str">
        <f>=HYPERLINK("https://890127-4a0d7fc6f5ba4b3681f31a9b5dffc2ea-3-latest.app.atoms.dev/", "https://890127-4a0d7fc6f5ba4b3681f31a9b5dffc2ea-3-latest.app.atoms.dev/")</f>
        <v>https://890127-4a0d7fc6f5ba4b3681f31a9b5dffc2ea-3-latest.app.atoms.dev/</v>
      </c>
      <c r="N433" s="2" t="str">
        <f>=HYPERLINK("http://press_test6@mgx.dev", "press_test6@mgx.dev")</f>
        <v>press_test6@mgx.dev</v>
      </c>
      <c r="O433" t="inlineStr">
        <is>
          <t>4a0d7fc6f5ba4b3681f31a9b5dffc2ea</t>
        </is>
      </c>
    </row>
    <row r="434" ht="25.5" customHeight="1">
      <c r="A434" t="inlineStr">
        <is>
          <t>OfficeEmployeeTaskAllocator</t>
        </is>
      </c>
      <c r="B434">
        <v>34</v>
      </c>
      <c r="C434" t="inlineStr">
        <is>
          <t>@杨春玉</t>
        </is>
      </c>
      <c r="D434">
        <v>0</v>
      </c>
      <c r="E434" t="inlineStr">
        <is>
          <t>无法填写任务历史</t>
        </is>
      </c>
      <c r="F434" t="inlineStr">
        <is>
          <t>@陈佳杰</t>
        </is>
      </c>
      <c r="G434">
        <v>0</v>
      </c>
      <c r="H434" t="inlineStr">
        <is>
          <t>无法填写任务历史</t>
        </is>
      </c>
      <c r="I434">
        <v>3</v>
      </c>
      <c r="J434" t="inlineStr">
        <is>
          <t>Test if new employee profiles can be created with all necessary information (skills, current workload, task history)</t>
        </is>
      </c>
      <c r="K434" t="inlineStr">
        <is>
          <t>测试可填写所有必要信息（技能、当前工作量、任务历史）创建新员工档案</t>
        </is>
      </c>
      <c r="L434" s="2" t="str">
        <f>=HYPERLINK("https://atoms.dev/chat/4a0d7fc6f5ba4b3681f31a9b5dffc2ea", "https://atoms.dev/chat/4a0d7fc6f5ba4b3681f31a9b5dffc2ea")</f>
        <v>https://atoms.dev/chat/4a0d7fc6f5ba4b3681f31a9b5dffc2ea</v>
      </c>
      <c r="M434" s="2" t="str">
        <f>=HYPERLINK("https://890127-4a0d7fc6f5ba4b3681f31a9b5dffc2ea-3-latest.app.atoms.dev/", "https://890127-4a0d7fc6f5ba4b3681f31a9b5dffc2ea-3-latest.app.atoms.dev/")</f>
        <v>https://890127-4a0d7fc6f5ba4b3681f31a9b5dffc2ea-3-latest.app.atoms.dev/</v>
      </c>
      <c r="N434" s="2" t="str">
        <f>=HYPERLINK("http://press_test6@mgx.dev", "press_test6@mgx.dev")</f>
        <v>press_test6@mgx.dev</v>
      </c>
      <c r="O434" t="inlineStr">
        <is>
          <t>4a0d7fc6f5ba4b3681f31a9b5dffc2ea</t>
        </is>
      </c>
    </row>
    <row r="435" ht="25.5" customHeight="1">
      <c r="A435" t="inlineStr">
        <is>
          <t>OfficeEmployeeTaskAllocator</t>
        </is>
      </c>
      <c r="B435">
        <v>34</v>
      </c>
      <c r="C435" t="inlineStr">
        <is>
          <t>@杨春玉</t>
        </is>
      </c>
      <c r="D435">
        <v>1</v>
      </c>
      <c r="E435"/>
      <c r="F435" t="inlineStr">
        <is>
          <t>@陈佳杰</t>
        </is>
      </c>
      <c r="G435">
        <v>1</v>
      </c>
      <c r="H435"/>
      <c r="I435">
        <v>4</v>
      </c>
      <c r="J435" t="inlineStr">
        <is>
          <t>Test if the automated task assignment algorithm assigns tasks to employees with matching skills</t>
        </is>
      </c>
      <c r="K435" t="inlineStr">
        <is>
          <t>测试自动任务分配算法是否将任务分配给具备匹配技能的员工</t>
        </is>
      </c>
      <c r="L435" s="2" t="str">
        <f>=HYPERLINK("https://atoms.dev/chat/4a0d7fc6f5ba4b3681f31a9b5dffc2ea", "https://atoms.dev/chat/4a0d7fc6f5ba4b3681f31a9b5dffc2ea")</f>
        <v>https://atoms.dev/chat/4a0d7fc6f5ba4b3681f31a9b5dffc2ea</v>
      </c>
      <c r="M435" s="2" t="str">
        <f>=HYPERLINK("https://890127-4a0d7fc6f5ba4b3681f31a9b5dffc2ea-3-latest.app.atoms.dev/", "https://890127-4a0d7fc6f5ba4b3681f31a9b5dffc2ea-3-latest.app.atoms.dev/")</f>
        <v>https://890127-4a0d7fc6f5ba4b3681f31a9b5dffc2ea-3-latest.app.atoms.dev/</v>
      </c>
      <c r="N435" s="2" t="str">
        <f>=HYPERLINK("http://press_test6@mgx.dev", "press_test6@mgx.dev")</f>
        <v>press_test6@mgx.dev</v>
      </c>
      <c r="O435" t="inlineStr">
        <is>
          <t>4a0d7fc6f5ba4b3681f31a9b5dffc2ea</t>
        </is>
      </c>
    </row>
    <row r="436" ht="25.5" customHeight="1">
      <c r="A436" t="inlineStr">
        <is>
          <t>OfficeEmployeeTaskAllocator</t>
        </is>
      </c>
      <c r="B436">
        <v>34</v>
      </c>
      <c r="C436" t="inlineStr">
        <is>
          <t>@杨春玉</t>
        </is>
      </c>
      <c r="D436">
        <v>1</v>
      </c>
      <c r="E436"/>
      <c r="F436" t="inlineStr">
        <is>
          <t>@陈佳杰</t>
        </is>
      </c>
      <c r="G436">
        <v>1</v>
      </c>
      <c r="H436"/>
      <c r="I436">
        <v>5</v>
      </c>
      <c r="J436" t="inlineStr">
        <is>
          <t>Test if the dashboard accurately shows task progress status (not started, in progress, completed)</t>
        </is>
      </c>
      <c r="K436" t="inlineStr">
        <is>
          <t>测试数据面板准确展示任务进度状态（未开始、进行中、已完成）</t>
        </is>
      </c>
      <c r="L436" s="2" t="str">
        <f>=HYPERLINK("https://atoms.dev/chat/4a0d7fc6f5ba4b3681f31a9b5dffc2ea", "https://atoms.dev/chat/4a0d7fc6f5ba4b3681f31a9b5dffc2ea")</f>
        <v>https://atoms.dev/chat/4a0d7fc6f5ba4b3681f31a9b5dffc2ea</v>
      </c>
      <c r="M436" s="2" t="str">
        <f>=HYPERLINK("https://890127-4a0d7fc6f5ba4b3681f31a9b5dffc2ea-3-latest.app.atoms.dev/", "https://890127-4a0d7fc6f5ba4b3681f31a9b5dffc2ea-3-latest.app.atoms.dev/")</f>
        <v>https://890127-4a0d7fc6f5ba4b3681f31a9b5dffc2ea-3-latest.app.atoms.dev/</v>
      </c>
      <c r="N436" s="2" t="str">
        <f>=HYPERLINK("http://press_test6@mgx.dev", "press_test6@mgx.dev")</f>
        <v>press_test6@mgx.dev</v>
      </c>
      <c r="O436" t="inlineStr">
        <is>
          <t>4a0d7fc6f5ba4b3681f31a9b5dffc2ea</t>
        </is>
      </c>
    </row>
    <row r="437" ht="25.5" customHeight="1">
      <c r="A437" t="inlineStr">
        <is>
          <t>OfficeEmployeeTaskAllocator</t>
        </is>
      </c>
      <c r="B437">
        <v>34</v>
      </c>
      <c r="C437" t="inlineStr">
        <is>
          <t>@杨春玉</t>
        </is>
      </c>
      <c r="D437">
        <v>1</v>
      </c>
      <c r="E437"/>
      <c r="F437" t="inlineStr">
        <is>
          <t>@陈佳杰</t>
        </is>
      </c>
      <c r="G437">
        <v>1</v>
      </c>
      <c r="H437"/>
      <c r="I437">
        <v>6</v>
      </c>
      <c r="J437" t="inlineStr">
        <is>
          <t>Test if the task creation interface is accessible and displays all required fields (title, description, required skills, deadline, estimated completion time)</t>
        </is>
      </c>
      <c r="K437" t="inlineStr">
        <is>
          <t>测试任务创建界面可访问且展示所有必填字段（标题、描述、所需技能、截止日期、预计完成时间）</t>
        </is>
      </c>
      <c r="L437" s="2" t="str">
        <f>=HYPERLINK("https://atoms.dev/chat/4a0d7fc6f5ba4b3681f31a9b5dffc2ea", "https://atoms.dev/chat/4a0d7fc6f5ba4b3681f31a9b5dffc2ea")</f>
        <v>https://atoms.dev/chat/4a0d7fc6f5ba4b3681f31a9b5dffc2ea</v>
      </c>
      <c r="M437" s="2" t="str">
        <f>=HYPERLINK("https://890127-4a0d7fc6f5ba4b3681f31a9b5dffc2ea-3-latest.app.atoms.dev/", "https://890127-4a0d7fc6f5ba4b3681f31a9b5dffc2ea-3-latest.app.atoms.dev/")</f>
        <v>https://890127-4a0d7fc6f5ba4b3681f31a9b5dffc2ea-3-latest.app.atoms.dev/</v>
      </c>
      <c r="N437" s="2" t="str">
        <f>=HYPERLINK("http://press_test6@mgx.dev", "press_test6@mgx.dev")</f>
        <v>press_test6@mgx.dev</v>
      </c>
      <c r="O437" t="inlineStr">
        <is>
          <t>4a0d7fc6f5ba4b3681f31a9b5dffc2ea</t>
        </is>
      </c>
    </row>
    <row r="438" ht="25.5" customHeight="1">
      <c r="A438" t="inlineStr">
        <is>
          <t>OfficeEmployeeTaskAllocator</t>
        </is>
      </c>
      <c r="B438">
        <v>34</v>
      </c>
      <c r="C438" t="inlineStr">
        <is>
          <t>@杨春玉</t>
        </is>
      </c>
      <c r="D438">
        <v>1</v>
      </c>
      <c r="E438"/>
      <c r="F438" t="inlineStr">
        <is>
          <t>@陈佳杰</t>
        </is>
      </c>
      <c r="G438">
        <v>1</v>
      </c>
      <c r="H438"/>
      <c r="I438">
        <v>7</v>
      </c>
      <c r="J438" t="inlineStr">
        <is>
          <t>Test if the task creation interface prevents submission with empty required fields</t>
        </is>
      </c>
      <c r="K438" t="inlineStr">
        <is>
          <t>测试任务创建界面在必填字段为空时阻止提交</t>
        </is>
      </c>
      <c r="L438" s="2" t="str">
        <f>=HYPERLINK("https://atoms.dev/chat/4a0d7fc6f5ba4b3681f31a9b5dffc2ea", "https://atoms.dev/chat/4a0d7fc6f5ba4b3681f31a9b5dffc2ea")</f>
        <v>https://atoms.dev/chat/4a0d7fc6f5ba4b3681f31a9b5dffc2ea</v>
      </c>
      <c r="M438" s="2" t="str">
        <f>=HYPERLINK("https://890127-4a0d7fc6f5ba4b3681f31a9b5dffc2ea-3-latest.app.atoms.dev/", "https://890127-4a0d7fc6f5ba4b3681f31a9b5dffc2ea-3-latest.app.atoms.dev/")</f>
        <v>https://890127-4a0d7fc6f5ba4b3681f31a9b5dffc2ea-3-latest.app.atoms.dev/</v>
      </c>
      <c r="N438" s="2" t="str">
        <f>=HYPERLINK("http://press_test6@mgx.dev", "press_test6@mgx.dev")</f>
        <v>press_test6@mgx.dev</v>
      </c>
      <c r="O438" t="inlineStr">
        <is>
          <t>4a0d7fc6f5ba4b3681f31a9b5dffc2ea</t>
        </is>
      </c>
    </row>
    <row r="439" ht="25.5" customHeight="1">
      <c r="A439" t="inlineStr">
        <is>
          <t>OfficeEmployeeTaskAllocator</t>
        </is>
      </c>
      <c r="B439">
        <v>34</v>
      </c>
      <c r="C439" t="inlineStr">
        <is>
          <t>@杨春玉</t>
        </is>
      </c>
      <c r="D439">
        <v>1</v>
      </c>
      <c r="E439"/>
      <c r="F439" t="inlineStr">
        <is>
          <t>@陈佳杰</t>
        </is>
      </c>
      <c r="G439">
        <v>1</v>
      </c>
      <c r="H439"/>
      <c r="I439">
        <v>8</v>
      </c>
      <c r="J439" t="inlineStr">
        <is>
          <t>Verify that all fields in the task creation interface accept valid input</t>
        </is>
      </c>
      <c r="K439" t="inlineStr">
        <is>
          <t>验证任务创建界面的所有字段可接收有效输入</t>
        </is>
      </c>
      <c r="L439" s="2" t="str">
        <f>=HYPERLINK("https://atoms.dev/chat/4a0d7fc6f5ba4b3681f31a9b5dffc2ea", "https://atoms.dev/chat/4a0d7fc6f5ba4b3681f31a9b5dffc2ea")</f>
        <v>https://atoms.dev/chat/4a0d7fc6f5ba4b3681f31a9b5dffc2ea</v>
      </c>
      <c r="M439" s="2" t="str">
        <f>=HYPERLINK("https://890127-4a0d7fc6f5ba4b3681f31a9b5dffc2ea-3-latest.app.atoms.dev/", "https://890127-4a0d7fc6f5ba4b3681f31a9b5dffc2ea-3-latest.app.atoms.dev/")</f>
        <v>https://890127-4a0d7fc6f5ba4b3681f31a9b5dffc2ea-3-latest.app.atoms.dev/</v>
      </c>
      <c r="N439" s="2" t="str">
        <f>=HYPERLINK("http://press_test6@mgx.dev", "press_test6@mgx.dev")</f>
        <v>press_test6@mgx.dev</v>
      </c>
      <c r="O439" t="inlineStr">
        <is>
          <t>4a0d7fc6f5ba4b3681f31a9b5dffc2ea</t>
        </is>
      </c>
    </row>
    <row r="440" ht="25.5" customHeight="1">
      <c r="A440" t="inlineStr">
        <is>
          <t>OfficeEmployeeTaskAllocator</t>
        </is>
      </c>
      <c r="B440">
        <v>34</v>
      </c>
      <c r="C440" t="inlineStr">
        <is>
          <t>@杨春玉</t>
        </is>
      </c>
      <c r="D440">
        <v>1</v>
      </c>
      <c r="E440"/>
      <c r="F440" t="inlineStr">
        <is>
          <t>@陈佳杰</t>
        </is>
      </c>
      <c r="G440">
        <v>1</v>
      </c>
      <c r="H440"/>
      <c r="I440">
        <v>9</v>
      </c>
      <c r="J440" t="inlineStr">
        <is>
          <t>Verify that the employee profile system accurately displays current workload and task history</t>
        </is>
      </c>
      <c r="K440" t="inlineStr">
        <is>
          <t>验证员工档案系统准确展示当前工作量和任务历史</t>
        </is>
      </c>
      <c r="L440" s="2" t="str">
        <f>=HYPERLINK("https://atoms.dev/chat/4a0d7fc6f5ba4b3681f31a9b5dffc2ea", "https://atoms.dev/chat/4a0d7fc6f5ba4b3681f31a9b5dffc2ea")</f>
        <v>https://atoms.dev/chat/4a0d7fc6f5ba4b3681f31a9b5dffc2ea</v>
      </c>
      <c r="M440" s="2" t="str">
        <f>=HYPERLINK("https://890127-4a0d7fc6f5ba4b3681f31a9b5dffc2ea-3-latest.app.atoms.dev/", "https://890127-4a0d7fc6f5ba4b3681f31a9b5dffc2ea-3-latest.app.atoms.dev/")</f>
        <v>https://890127-4a0d7fc6f5ba4b3681f31a9b5dffc2ea-3-latest.app.atoms.dev/</v>
      </c>
      <c r="N440" s="2" t="str">
        <f>=HYPERLINK("http://press_test6@mgx.dev", "press_test6@mgx.dev")</f>
        <v>press_test6@mgx.dev</v>
      </c>
      <c r="O440" t="inlineStr">
        <is>
          <t>4a0d7fc6f5ba4b3681f31a9b5dffc2ea</t>
        </is>
      </c>
    </row>
    <row r="441" ht="25.5" customHeight="1">
      <c r="A441" t="inlineStr">
        <is>
          <t>OfficeEmployeeTaskAllocator</t>
        </is>
      </c>
      <c r="B441">
        <v>34</v>
      </c>
      <c r="C441" t="inlineStr">
        <is>
          <t>@杨春玉</t>
        </is>
      </c>
      <c r="D441">
        <v>1</v>
      </c>
      <c r="E441"/>
      <c r="F441" t="inlineStr">
        <is>
          <t>@陈佳杰</t>
        </is>
      </c>
      <c r="G441">
        <v>1</v>
      </c>
      <c r="H441"/>
      <c r="I441">
        <v>10</v>
      </c>
      <c r="J441" t="inlineStr">
        <is>
          <t>Verify that the employee profile system is accessible</t>
        </is>
      </c>
      <c r="K441" t="inlineStr">
        <is>
          <t>验证员工档案系统可访问</t>
        </is>
      </c>
      <c r="L441" s="2" t="str">
        <f>=HYPERLINK("https://atoms.dev/chat/4a0d7fc6f5ba4b3681f31a9b5dffc2ea", "https://atoms.dev/chat/4a0d7fc6f5ba4b3681f31a9b5dffc2ea")</f>
        <v>https://atoms.dev/chat/4a0d7fc6f5ba4b3681f31a9b5dffc2ea</v>
      </c>
      <c r="M441" s="2" t="str">
        <f>=HYPERLINK("https://890127-4a0d7fc6f5ba4b3681f31a9b5dffc2ea-3-latest.app.atoms.dev/", "https://890127-4a0d7fc6f5ba4b3681f31a9b5dffc2ea-3-latest.app.atoms.dev/")</f>
        <v>https://890127-4a0d7fc6f5ba4b3681f31a9b5dffc2ea-3-latest.app.atoms.dev/</v>
      </c>
      <c r="N441" s="2" t="str">
        <f>=HYPERLINK("http://press_test6@mgx.dev", "press_test6@mgx.dev")</f>
        <v>press_test6@mgx.dev</v>
      </c>
      <c r="O441" t="inlineStr">
        <is>
          <t>4a0d7fc6f5ba4b3681f31a9b5dffc2ea</t>
        </is>
      </c>
    </row>
    <row r="442" ht="25.5" customHeight="1">
      <c r="A442" t="inlineStr">
        <is>
          <t>OfficeEmployeeTaskAllocator</t>
        </is>
      </c>
      <c r="B442">
        <v>34</v>
      </c>
      <c r="C442" t="inlineStr">
        <is>
          <t>@杨春玉</t>
        </is>
      </c>
      <c r="D442">
        <v>0</v>
      </c>
      <c r="E442" t="inlineStr">
        <is>
          <t>未考虑员工当前工作量</t>
        </is>
      </c>
      <c r="F442" t="inlineStr">
        <is>
          <t>@陈佳杰</t>
        </is>
      </c>
      <c r="G442">
        <v>0</v>
      </c>
      <c r="H442" t="inlineStr">
        <is>
          <t>缺少该功能</t>
        </is>
      </c>
      <c r="I442">
        <v>11</v>
      </c>
      <c r="J442" t="inlineStr">
        <is>
          <t>Verify that the task assignment algorithm considers current workload when assigning tasks</t>
        </is>
      </c>
      <c r="K442" t="inlineStr">
        <is>
          <t>验证任务分配算法分配任务时考虑员工当前工作量</t>
        </is>
      </c>
      <c r="L442" s="2" t="str">
        <f>=HYPERLINK("https://atoms.dev/chat/4a0d7fc6f5ba4b3681f31a9b5dffc2ea", "https://atoms.dev/chat/4a0d7fc6f5ba4b3681f31a9b5dffc2ea")</f>
        <v>https://atoms.dev/chat/4a0d7fc6f5ba4b3681f31a9b5dffc2ea</v>
      </c>
      <c r="M442" s="2" t="str">
        <f>=HYPERLINK("https://890127-4a0d7fc6f5ba4b3681f31a9b5dffc2ea-3-latest.app.atoms.dev/", "https://890127-4a0d7fc6f5ba4b3681f31a9b5dffc2ea-3-latest.app.atoms.dev/")</f>
        <v>https://890127-4a0d7fc6f5ba4b3681f31a9b5dffc2ea-3-latest.app.atoms.dev/</v>
      </c>
      <c r="N442" s="2" t="str">
        <f>=HYPERLINK("http://press_test6@mgx.dev", "press_test6@mgx.dev")</f>
        <v>press_test6@mgx.dev</v>
      </c>
      <c r="O442" t="inlineStr">
        <is>
          <t>4a0d7fc6f5ba4b3681f31a9b5dffc2ea</t>
        </is>
      </c>
    </row>
    <row r="443" ht="25.5" customHeight="1">
      <c r="A443" t="inlineStr">
        <is>
          <t>OfficeEmployeeTaskAllocator</t>
        </is>
      </c>
      <c r="B443">
        <v>34</v>
      </c>
      <c r="C443" t="inlineStr">
        <is>
          <t>@杨春玉</t>
        </is>
      </c>
      <c r="D443">
        <v>1</v>
      </c>
      <c r="E443"/>
      <c r="F443" t="inlineStr">
        <is>
          <t>@陈佳杰</t>
        </is>
      </c>
      <c r="G443">
        <v>1</v>
      </c>
      <c r="H443"/>
      <c r="I443">
        <v>12</v>
      </c>
      <c r="J443" t="inlineStr">
        <is>
          <t>Verify that the task tracking dashboard is accessible and displays all tasks</t>
        </is>
      </c>
      <c r="K443" t="inlineStr">
        <is>
          <t>验证任务追踪数据面板可访问且展示所有任务</t>
        </is>
      </c>
      <c r="L443" s="2" t="str">
        <f>=HYPERLINK("https://atoms.dev/chat/4a0d7fc6f5ba4b3681f31a9b5dffc2ea", "https://atoms.dev/chat/4a0d7fc6f5ba4b3681f31a9b5dffc2ea")</f>
        <v>https://atoms.dev/chat/4a0d7fc6f5ba4b3681f31a9b5dffc2ea</v>
      </c>
      <c r="M443" s="2" t="str">
        <f>=HYPERLINK("https://890127-4a0d7fc6f5ba4b3681f31a9b5dffc2ea-3-latest.app.atoms.dev/", "https://890127-4a0d7fc6f5ba4b3681f31a9b5dffc2ea-3-latest.app.atoms.dev/")</f>
        <v>https://890127-4a0d7fc6f5ba4b3681f31a9b5dffc2ea-3-latest.app.atoms.dev/</v>
      </c>
      <c r="N443" s="2" t="str">
        <f>=HYPERLINK("http://press_test6@mgx.dev", "press_test6@mgx.dev")</f>
        <v>press_test6@mgx.dev</v>
      </c>
      <c r="O443" t="inlineStr">
        <is>
          <t>4a0d7fc6f5ba4b3681f31a9b5dffc2ea</t>
        </is>
      </c>
    </row>
    <row r="444" ht="25.5" customHeight="1">
      <c r="A444" t="inlineStr">
        <is>
          <t>Password Generator Tool</t>
        </is>
      </c>
      <c r="B444">
        <v>35</v>
      </c>
      <c r="C444" t="inlineStr">
        <is>
          <t>@杨春玉</t>
        </is>
      </c>
      <c r="D444">
        <v>1</v>
      </c>
      <c r="E444"/>
      <c r="F444" t="inlineStr">
        <is>
          <t>@陈佳杰</t>
        </is>
      </c>
      <c r="G444">
        <v>1</v>
      </c>
      <c r="H444"/>
      <c r="I444">
        <v>1</v>
      </c>
      <c r="J444" t="inlineStr">
        <is>
          <t>Check if the 'Generate Password' button is functional and clickable</t>
        </is>
      </c>
      <c r="K444" t="inlineStr">
        <is>
          <t>检查“生成密码”按钮功能正常且可点击</t>
        </is>
      </c>
      <c r="L444" s="2" t="str">
        <f>=HYPERLINK("http://pre.mgx.dev/chat/b9206a6ab6054487a3aa501f9d925ab8", "http://pre.mgx.dev/chat/b9206a6ab6054487a3aa501f9d925ab8")</f>
        <v>http://pre.mgx.dev/chat/b9206a6ab6054487a3aa501f9d925ab8</v>
      </c>
      <c r="M444" s="2" t="str">
        <f>=HYPERLINK("", "https://45799-b9206a6ab6054487a3aa501f9d925ab8-3-latest.app.beta.mgx.dev")</f>
        <v>https://45799-b9206a6ab6054487a3aa501f9d925ab8-3-latest.app.beta.mgx.dev</v>
      </c>
      <c r="N444" s="2" t="str">
        <f>=HYPERLINK("mailto:eval_89@auto.com", "eval_89@auto.com")</f>
        <v>eval_89@auto.com</v>
      </c>
      <c r="O444" t="inlineStr">
        <is>
          <t>b9206a6ab6054487a3aa501f9d925ab8</t>
        </is>
      </c>
    </row>
    <row r="445" ht="25.5" customHeight="1">
      <c r="A445" t="inlineStr">
        <is>
          <t>Password Generator Tool</t>
        </is>
      </c>
      <c r="B445">
        <v>35</v>
      </c>
      <c r="C445" t="inlineStr">
        <is>
          <t>@杨春玉</t>
        </is>
      </c>
      <c r="D445">
        <v>1</v>
      </c>
      <c r="E445"/>
      <c r="F445" t="inlineStr">
        <is>
          <t>@陈佳杰</t>
        </is>
      </c>
      <c r="G445">
        <v>1</v>
      </c>
      <c r="H445"/>
      <c r="I445">
        <v>2</v>
      </c>
      <c r="J445" t="inlineStr">
        <is>
          <t>Check if the generated password includes both uppercase and lowercase letters</t>
        </is>
      </c>
      <c r="K445" t="inlineStr">
        <is>
          <t>检查生成的密码是否同时包含大小写字母</t>
        </is>
      </c>
      <c r="L445" s="2" t="str">
        <f>=HYPERLINK("http://pre.mgx.dev/chat/b9206a6ab6054487a3aa501f9d925ab8", "http://pre.mgx.dev/chat/b9206a6ab6054487a3aa501f9d925ab8")</f>
        <v>http://pre.mgx.dev/chat/b9206a6ab6054487a3aa501f9d925ab8</v>
      </c>
      <c r="M445" s="2" t="str">
        <f>=HYPERLINK("", "https://45799-b9206a6ab6054487a3aa501f9d925ab8-3-latest.app.beta.mgx.dev")</f>
        <v>https://45799-b9206a6ab6054487a3aa501f9d925ab8-3-latest.app.beta.mgx.dev</v>
      </c>
      <c r="N445" s="2" t="str">
        <f>=HYPERLINK("mailto:eval_89@auto.com", "eval_89@auto.com")</f>
        <v>eval_89@auto.com</v>
      </c>
      <c r="O445" t="inlineStr">
        <is>
          <t>b9206a6ab6054487a3aa501f9d925ab8</t>
        </is>
      </c>
    </row>
    <row r="446" ht="25.5" customHeight="1">
      <c r="A446" t="inlineStr">
        <is>
          <t>Password Generator Tool</t>
        </is>
      </c>
      <c r="B446">
        <v>35</v>
      </c>
      <c r="C446" t="inlineStr">
        <is>
          <t>@杨春玉</t>
        </is>
      </c>
      <c r="D446">
        <v>1</v>
      </c>
      <c r="E446"/>
      <c r="F446" t="inlineStr">
        <is>
          <t>@陈佳杰</t>
        </is>
      </c>
      <c r="G446">
        <v>1</v>
      </c>
      <c r="H446"/>
      <c r="I446">
        <v>3</v>
      </c>
      <c r="J446" t="inlineStr">
        <is>
          <t>Check if the generated password is displayed in a readable format</t>
        </is>
      </c>
      <c r="K446" t="inlineStr">
        <is>
          <t>检查生成的密码以易读格式展示</t>
        </is>
      </c>
      <c r="L446" s="2" t="str">
        <f>=HYPERLINK("http://pre.mgx.dev/chat/b9206a6ab6054487a3aa501f9d925ab8", "http://pre.mgx.dev/chat/b9206a6ab6054487a3aa501f9d925ab8")</f>
        <v>http://pre.mgx.dev/chat/b9206a6ab6054487a3aa501f9d925ab8</v>
      </c>
      <c r="M446" s="2" t="str">
        <f>=HYPERLINK("", "https://45799-b9206a6ab6054487a3aa501f9d925ab8-3-latest.app.beta.mgx.dev")</f>
        <v>https://45799-b9206a6ab6054487a3aa501f9d925ab8-3-latest.app.beta.mgx.dev</v>
      </c>
      <c r="N446" s="2" t="str">
        <f>=HYPERLINK("mailto:eval_89@auto.com", "eval_89@auto.com")</f>
        <v>eval_89@auto.com</v>
      </c>
      <c r="O446" t="inlineStr">
        <is>
          <t>b9206a6ab6054487a3aa501f9d925ab8</t>
        </is>
      </c>
    </row>
    <row r="447" ht="25.5" customHeight="1">
      <c r="A447" t="inlineStr">
        <is>
          <t>Password Generator Tool</t>
        </is>
      </c>
      <c r="B447">
        <v>35</v>
      </c>
      <c r="C447" t="inlineStr">
        <is>
          <t>@杨春玉</t>
        </is>
      </c>
      <c r="D447">
        <v>1</v>
      </c>
      <c r="E447"/>
      <c r="F447" t="inlineStr">
        <is>
          <t>@陈佳杰</t>
        </is>
      </c>
      <c r="G447">
        <v>1</v>
      </c>
      <c r="H447"/>
      <c r="I447">
        <v>4</v>
      </c>
      <c r="J447" t="inlineStr">
        <is>
          <t>Test if the 'Copy Password' functionality works correctly</t>
        </is>
      </c>
      <c r="K447" t="inlineStr">
        <is>
          <t>测试“复制密码”功能是否正常</t>
        </is>
      </c>
      <c r="L447" s="2" t="str">
        <f>=HYPERLINK("http://pre.mgx.dev/chat/b9206a6ab6054487a3aa501f9d925ab8", "http://pre.mgx.dev/chat/b9206a6ab6054487a3aa501f9d925ab8")</f>
        <v>http://pre.mgx.dev/chat/b9206a6ab6054487a3aa501f9d925ab8</v>
      </c>
      <c r="M447" s="2" t="str">
        <f>=HYPERLINK("", "https://45799-b9206a6ab6054487a3aa501f9d925ab8-3-latest.app.beta.mgx.dev")</f>
        <v>https://45799-b9206a6ab6054487a3aa501f9d925ab8-3-latest.app.beta.mgx.dev</v>
      </c>
      <c r="N447" s="2" t="str">
        <f>=HYPERLINK("mailto:eval_89@auto.com", "eval_89@auto.com")</f>
        <v>eval_89@auto.com</v>
      </c>
      <c r="O447" t="inlineStr">
        <is>
          <t>b9206a6ab6054487a3aa501f9d925ab8</t>
        </is>
      </c>
    </row>
    <row r="448" ht="25.5" customHeight="1">
      <c r="A448" t="inlineStr">
        <is>
          <t>Password Generator Tool</t>
        </is>
      </c>
      <c r="B448">
        <v>35</v>
      </c>
      <c r="C448" t="inlineStr">
        <is>
          <t>@杨春玉</t>
        </is>
      </c>
      <c r="D448">
        <v>1</v>
      </c>
      <c r="E448"/>
      <c r="F448" t="inlineStr">
        <is>
          <t>@陈佳杰</t>
        </is>
      </c>
      <c r="G448">
        <v>1</v>
      </c>
      <c r="H448"/>
      <c r="I448">
        <v>5</v>
      </c>
      <c r="J448" t="inlineStr">
        <is>
          <t>Test if the generated password contains at least 8 characters</t>
        </is>
      </c>
      <c r="K448" t="inlineStr">
        <is>
          <t>测试生成的密码至少包含8个字符</t>
        </is>
      </c>
      <c r="L448" s="2" t="str">
        <f>=HYPERLINK("http://pre.mgx.dev/chat/b9206a6ab6054487a3aa501f9d925ab8", "http://pre.mgx.dev/chat/b9206a6ab6054487a3aa501f9d925ab8")</f>
        <v>http://pre.mgx.dev/chat/b9206a6ab6054487a3aa501f9d925ab8</v>
      </c>
      <c r="M448" s="2" t="str">
        <f>=HYPERLINK("", "https://45799-b9206a6ab6054487a3aa501f9d925ab8-3-latest.app.beta.mgx.dev")</f>
        <v>https://45799-b9206a6ab6054487a3aa501f9d925ab8-3-latest.app.beta.mgx.dev</v>
      </c>
      <c r="N448" s="2" t="str">
        <f>=HYPERLINK("mailto:eval_89@auto.com", "eval_89@auto.com")</f>
        <v>eval_89@auto.com</v>
      </c>
      <c r="O448" t="inlineStr">
        <is>
          <t>b9206a6ab6054487a3aa501f9d925ab8</t>
        </is>
      </c>
    </row>
    <row r="449" ht="25.5" customHeight="1">
      <c r="A449" t="inlineStr">
        <is>
          <t>Password Generator Tool</t>
        </is>
      </c>
      <c r="B449">
        <v>35</v>
      </c>
      <c r="C449" t="inlineStr">
        <is>
          <t>@杨春玉</t>
        </is>
      </c>
      <c r="D449">
        <v>1</v>
      </c>
      <c r="E449"/>
      <c r="F449" t="inlineStr">
        <is>
          <t>@陈佳杰</t>
        </is>
      </c>
      <c r="G449">
        <v>1</v>
      </c>
      <c r="H449"/>
      <c r="I449">
        <v>6</v>
      </c>
      <c r="J449" t="inlineStr">
        <is>
          <t>Test if the generated password includes special characters</t>
        </is>
      </c>
      <c r="K449" t="inlineStr">
        <is>
          <t>测试生成的密码包含特殊字符</t>
        </is>
      </c>
      <c r="L449" s="2" t="str">
        <f>=HYPERLINK("http://pre.mgx.dev/chat/b9206a6ab6054487a3aa501f9d925ab8", "http://pre.mgx.dev/chat/b9206a6ab6054487a3aa501f9d925ab8")</f>
        <v>http://pre.mgx.dev/chat/b9206a6ab6054487a3aa501f9d925ab8</v>
      </c>
      <c r="M449" s="2" t="str">
        <f>=HYPERLINK("", "https://45799-b9206a6ab6054487a3aa501f9d925ab8-3-latest.app.beta.mgx.dev")</f>
        <v>https://45799-b9206a6ab6054487a3aa501f9d925ab8-3-latest.app.beta.mgx.dev</v>
      </c>
      <c r="N449" s="2" t="str">
        <f>=HYPERLINK("mailto:eval_89@auto.com", "eval_89@auto.com")</f>
        <v>eval_89@auto.com</v>
      </c>
      <c r="O449" t="inlineStr">
        <is>
          <t>b9206a6ab6054487a3aa501f9d925ab8</t>
        </is>
      </c>
    </row>
    <row r="450" ht="25.5" customHeight="1">
      <c r="A450" t="inlineStr">
        <is>
          <t>Password Generator Tool</t>
        </is>
      </c>
      <c r="B450">
        <v>35</v>
      </c>
      <c r="C450" t="inlineStr">
        <is>
          <t>@杨春玉</t>
        </is>
      </c>
      <c r="D450">
        <v>1</v>
      </c>
      <c r="E450"/>
      <c r="F450" t="inlineStr">
        <is>
          <t>@陈佳杰</t>
        </is>
      </c>
      <c r="G450">
        <v>1</v>
      </c>
      <c r="H450"/>
      <c r="I450">
        <v>7</v>
      </c>
      <c r="J450" t="inlineStr">
        <is>
          <t>Test if the generated password is not empty/null</t>
        </is>
      </c>
      <c r="K450" t="inlineStr">
        <is>
          <t>测试生成的密码非空/非空值</t>
        </is>
      </c>
      <c r="L450" s="2" t="str">
        <f>=HYPERLINK("http://pre.mgx.dev/chat/b9206a6ab6054487a3aa501f9d925ab8", "http://pre.mgx.dev/chat/b9206a6ab6054487a3aa501f9d925ab8")</f>
        <v>http://pre.mgx.dev/chat/b9206a6ab6054487a3aa501f9d925ab8</v>
      </c>
      <c r="M450" s="2" t="str">
        <f>=HYPERLINK("", "https://45799-b9206a6ab6054487a3aa501f9d925ab8-3-latest.app.beta.mgx.dev")</f>
        <v>https://45799-b9206a6ab6054487a3aa501f9d925ab8-3-latest.app.beta.mgx.dev</v>
      </c>
      <c r="N450" s="2" t="str">
        <f>=HYPERLINK("mailto:eval_89@auto.com", "eval_89@auto.com")</f>
        <v>eval_89@auto.com</v>
      </c>
      <c r="O450" t="inlineStr">
        <is>
          <t>b9206a6ab6054487a3aa501f9d925ab8</t>
        </is>
      </c>
    </row>
    <row r="451" ht="25.5" customHeight="1">
      <c r="A451" t="inlineStr">
        <is>
          <t>Password Generator Tool</t>
        </is>
      </c>
      <c r="B451">
        <v>35</v>
      </c>
      <c r="C451" t="inlineStr">
        <is>
          <t>@杨春玉</t>
        </is>
      </c>
      <c r="D451">
        <v>1</v>
      </c>
      <c r="E451"/>
      <c r="F451" t="inlineStr">
        <is>
          <t>@陈佳杰</t>
        </is>
      </c>
      <c r="G451">
        <v>1</v>
      </c>
      <c r="H451"/>
      <c r="I451">
        <v>8</v>
      </c>
      <c r="J451" t="inlineStr">
        <is>
          <t>Test if the password generator handles multiple rapid clicks without errors</t>
        </is>
      </c>
      <c r="K451" t="inlineStr">
        <is>
          <t>测试密码生成器应对多次快速点击无报错</t>
        </is>
      </c>
      <c r="L451" s="2" t="str">
        <f>=HYPERLINK("http://pre.mgx.dev/chat/b9206a6ab6054487a3aa501f9d925ab8", "http://pre.mgx.dev/chat/b9206a6ab6054487a3aa501f9d925ab8")</f>
        <v>http://pre.mgx.dev/chat/b9206a6ab6054487a3aa501f9d925ab8</v>
      </c>
      <c r="M451" s="2" t="str">
        <f>=HYPERLINK("", "https://45799-b9206a6ab6054487a3aa501f9d925ab8-3-latest.app.beta.mgx.dev")</f>
        <v>https://45799-b9206a6ab6054487a3aa501f9d925ab8-3-latest.app.beta.mgx.dev</v>
      </c>
      <c r="N451" s="2" t="str">
        <f>=HYPERLINK("mailto:eval_89@auto.com", "eval_89@auto.com")</f>
        <v>eval_89@auto.com</v>
      </c>
      <c r="O451" t="inlineStr">
        <is>
          <t>b9206a6ab6054487a3aa501f9d925ab8</t>
        </is>
      </c>
    </row>
    <row r="452" ht="25.5" customHeight="1">
      <c r="A452" t="inlineStr">
        <is>
          <t>Password Generator Tool</t>
        </is>
      </c>
      <c r="B452">
        <v>35</v>
      </c>
      <c r="C452" t="inlineStr">
        <is>
          <t>@杨春玉</t>
        </is>
      </c>
      <c r="D452">
        <v>1</v>
      </c>
      <c r="E452"/>
      <c r="F452" t="inlineStr">
        <is>
          <t>@陈佳杰</t>
        </is>
      </c>
      <c r="G452">
        <v>1</v>
      </c>
      <c r="H452"/>
      <c r="I452">
        <v>9</v>
      </c>
      <c r="J452" t="inlineStr">
        <is>
          <t>Test if the password generator works multiple times consecutively</t>
        </is>
      </c>
      <c r="K452" t="inlineStr">
        <is>
          <t>测试密码生成器可连续多次生成密码</t>
        </is>
      </c>
      <c r="L452" s="2" t="str">
        <f>=HYPERLINK("http://pre.mgx.dev/chat/b9206a6ab6054487a3aa501f9d925ab8", "http://pre.mgx.dev/chat/b9206a6ab6054487a3aa501f9d925ab8")</f>
        <v>http://pre.mgx.dev/chat/b9206a6ab6054487a3aa501f9d925ab8</v>
      </c>
      <c r="M452" s="2" t="str">
        <f>=HYPERLINK("", "https://45799-b9206a6ab6054487a3aa501f9d925ab8-3-latest.app.beta.mgx.dev")</f>
        <v>https://45799-b9206a6ab6054487a3aa501f9d925ab8-3-latest.app.beta.mgx.dev</v>
      </c>
      <c r="N452" s="2" t="str">
        <f>=HYPERLINK("mailto:eval_89@auto.com", "eval_89@auto.com")</f>
        <v>eval_89@auto.com</v>
      </c>
      <c r="O452" t="inlineStr">
        <is>
          <t>b9206a6ab6054487a3aa501f9d925ab8</t>
        </is>
      </c>
    </row>
    <row r="453" ht="25.5" customHeight="1">
      <c r="A453" t="inlineStr">
        <is>
          <t>Password Generator Tool</t>
        </is>
      </c>
      <c r="B453">
        <v>35</v>
      </c>
      <c r="C453" t="inlineStr">
        <is>
          <t>@杨春玉</t>
        </is>
      </c>
      <c r="D453">
        <v>1</v>
      </c>
      <c r="E453"/>
      <c r="F453" t="inlineStr">
        <is>
          <t>@陈佳杰</t>
        </is>
      </c>
      <c r="G453">
        <v>1</v>
      </c>
      <c r="H453"/>
      <c r="I453">
        <v>10</v>
      </c>
      <c r="J453" t="inlineStr">
        <is>
          <t>Verify if a password is generated when clicking the 'Generate Password' button</t>
        </is>
      </c>
      <c r="K453" t="inlineStr">
        <is>
          <t>验证点击“生成密码”按钮可生成密码</t>
        </is>
      </c>
      <c r="L453" s="2" t="str">
        <f>=HYPERLINK("http://pre.mgx.dev/chat/b9206a6ab6054487a3aa501f9d925ab8", "http://pre.mgx.dev/chat/b9206a6ab6054487a3aa501f9d925ab8")</f>
        <v>http://pre.mgx.dev/chat/b9206a6ab6054487a3aa501f9d925ab8</v>
      </c>
      <c r="M453" s="2" t="str">
        <f>=HYPERLINK("", "https://45799-b9206a6ab6054487a3aa501f9d925ab8-3-latest.app.beta.mgx.dev")</f>
        <v>https://45799-b9206a6ab6054487a3aa501f9d925ab8-3-latest.app.beta.mgx.dev</v>
      </c>
      <c r="N453" s="2" t="str">
        <f>=HYPERLINK("mailto:eval_89@auto.com", "eval_89@auto.com")</f>
        <v>eval_89@auto.com</v>
      </c>
      <c r="O453" t="inlineStr">
        <is>
          <t>b9206a6ab6054487a3aa501f9d925ab8</t>
        </is>
      </c>
    </row>
    <row r="454" ht="25.5" customHeight="1">
      <c r="A454" t="inlineStr">
        <is>
          <t>Password Generator Tool</t>
        </is>
      </c>
      <c r="B454">
        <v>35</v>
      </c>
      <c r="C454" t="inlineStr">
        <is>
          <t>@杨春玉</t>
        </is>
      </c>
      <c r="D454">
        <v>1</v>
      </c>
      <c r="E454"/>
      <c r="F454" t="inlineStr">
        <is>
          <t>@陈佳杰</t>
        </is>
      </c>
      <c r="G454">
        <v>1</v>
      </c>
      <c r="H454"/>
      <c r="I454">
        <v>11</v>
      </c>
      <c r="J454" t="inlineStr">
        <is>
          <t>Verify if a success message appears after copying the password</t>
        </is>
      </c>
      <c r="K454" t="inlineStr">
        <is>
          <t>验证复制密码后展示成功提示</t>
        </is>
      </c>
      <c r="L454" s="2" t="str">
        <f>=HYPERLINK("http://pre.mgx.dev/chat/b9206a6ab6054487a3aa501f9d925ab8", "http://pre.mgx.dev/chat/b9206a6ab6054487a3aa501f9d925ab8")</f>
        <v>http://pre.mgx.dev/chat/b9206a6ab6054487a3aa501f9d925ab8</v>
      </c>
      <c r="M454" s="2" t="str">
        <f>=HYPERLINK("", "https://45799-b9206a6ab6054487a3aa501f9d925ab8-3-latest.app.beta.mgx.dev")</f>
        <v>https://45799-b9206a6ab6054487a3aa501f9d925ab8-3-latest.app.beta.mgx.dev</v>
      </c>
      <c r="N454" s="2" t="str">
        <f>=HYPERLINK("mailto:eval_89@auto.com", "eval_89@auto.com")</f>
        <v>eval_89@auto.com</v>
      </c>
      <c r="O454" t="inlineStr">
        <is>
          <t>b9206a6ab6054487a3aa501f9d925ab8</t>
        </is>
      </c>
    </row>
    <row r="455" ht="25.5" customHeight="1">
      <c r="A455" t="inlineStr">
        <is>
          <t>Password Generator Tool</t>
        </is>
      </c>
      <c r="B455">
        <v>35</v>
      </c>
      <c r="C455" t="inlineStr">
        <is>
          <t>@杨春玉</t>
        </is>
      </c>
      <c r="D455">
        <v>1</v>
      </c>
      <c r="E455"/>
      <c r="F455" t="inlineStr">
        <is>
          <t>@陈佳杰</t>
        </is>
      </c>
      <c r="G455">
        <v>1</v>
      </c>
      <c r="H455"/>
      <c r="I455">
        <v>12</v>
      </c>
      <c r="J455" t="inlineStr">
        <is>
          <t>Verify if the generated password includes numbers</t>
        </is>
      </c>
      <c r="K455" t="inlineStr">
        <is>
          <t>验证生成的密码包含数字</t>
        </is>
      </c>
      <c r="L455" s="2" t="str">
        <f>=HYPERLINK("http://pre.mgx.dev/chat/b9206a6ab6054487a3aa501f9d925ab8", "http://pre.mgx.dev/chat/b9206a6ab6054487a3aa501f9d925ab8")</f>
        <v>http://pre.mgx.dev/chat/b9206a6ab6054487a3aa501f9d925ab8</v>
      </c>
      <c r="M455" s="2" t="str">
        <f>=HYPERLINK("", "https://45799-b9206a6ab6054487a3aa501f9d925ab8-3-latest.app.beta.mgx.dev")</f>
        <v>https://45799-b9206a6ab6054487a3aa501f9d925ab8-3-latest.app.beta.mgx.dev</v>
      </c>
      <c r="N455" s="2" t="str">
        <f>=HYPERLINK("mailto:eval_89@auto.com", "eval_89@auto.com")</f>
        <v>eval_89@auto.com</v>
      </c>
      <c r="O455" t="inlineStr">
        <is>
          <t>b9206a6ab6054487a3aa501f9d925ab8</t>
        </is>
      </c>
    </row>
    <row r="456" ht="25.5" customHeight="1">
      <c r="A456" t="inlineStr">
        <is>
          <t>Password Generator Tool</t>
        </is>
      </c>
      <c r="B456">
        <v>35</v>
      </c>
      <c r="C456" t="inlineStr">
        <is>
          <t>@杨春玉</t>
        </is>
      </c>
      <c r="D456">
        <v>1</v>
      </c>
      <c r="E456"/>
      <c r="F456" t="inlineStr">
        <is>
          <t>@陈佳杰</t>
        </is>
      </c>
      <c r="G456">
        <v>1</v>
      </c>
      <c r="H456"/>
      <c r="I456">
        <v>13</v>
      </c>
      <c r="J456" t="inlineStr">
        <is>
          <t>Verify if the generated password matches the specified character set requirements</t>
        </is>
      </c>
      <c r="K456" t="inlineStr">
        <is>
          <t>验证生成的密码符合指定的字符集要求</t>
        </is>
      </c>
      <c r="L456" s="2" t="str">
        <f>=HYPERLINK("http://pre.mgx.dev/chat/b9206a6ab6054487a3aa501f9d925ab8", "http://pre.mgx.dev/chat/b9206a6ab6054487a3aa501f9d925ab8")</f>
        <v>http://pre.mgx.dev/chat/b9206a6ab6054487a3aa501f9d925ab8</v>
      </c>
      <c r="M456" s="2" t="str">
        <f>=HYPERLINK("", "https://45799-b9206a6ab6054487a3aa501f9d925ab8-3-latest.app.beta.mgx.dev")</f>
        <v>https://45799-b9206a6ab6054487a3aa501f9d925ab8-3-latest.app.beta.mgx.dev</v>
      </c>
      <c r="N456" s="2" t="str">
        <f>=HYPERLINK("mailto:eval_89@auto.com", "eval_89@auto.com")</f>
        <v>eval_89@auto.com</v>
      </c>
      <c r="O456" t="inlineStr">
        <is>
          <t>b9206a6ab6054487a3aa501f9d925ab8</t>
        </is>
      </c>
    </row>
    <row r="457" ht="25.5" customHeight="1">
      <c r="A457" t="inlineStr">
        <is>
          <t>Password Generator Tool</t>
        </is>
      </c>
      <c r="B457">
        <v>35</v>
      </c>
      <c r="C457" t="inlineStr">
        <is>
          <t>@杨春玉</t>
        </is>
      </c>
      <c r="D457">
        <v>1</v>
      </c>
      <c r="E457"/>
      <c r="F457" t="inlineStr">
        <is>
          <t>@陈佳杰</t>
        </is>
      </c>
      <c r="G457">
        <v>1</v>
      </c>
      <c r="H457"/>
      <c r="I457">
        <v>14</v>
      </c>
      <c r="J457" t="inlineStr">
        <is>
          <t>Verify if the password length meets security standards (minimum 8 characters)</t>
        </is>
      </c>
      <c r="K457" t="inlineStr">
        <is>
          <t>验证密码长度符合安全标准（至少8个字符）</t>
        </is>
      </c>
      <c r="L457" s="2" t="str">
        <f>=HYPERLINK("http://pre.mgx.dev/chat/b9206a6ab6054487a3aa501f9d925ab8", "http://pre.mgx.dev/chat/b9206a6ab6054487a3aa501f9d925ab8")</f>
        <v>http://pre.mgx.dev/chat/b9206a6ab6054487a3aa501f9d925ab8</v>
      </c>
      <c r="M457" s="2" t="str">
        <f>=HYPERLINK("", "https://45799-b9206a6ab6054487a3aa501f9d925ab8-3-latest.app.beta.mgx.dev")</f>
        <v>https://45799-b9206a6ab6054487a3aa501f9d925ab8-3-latest.app.beta.mgx.dev</v>
      </c>
      <c r="N457" s="2" t="str">
        <f>=HYPERLINK("mailto:eval_89@auto.com", "eval_89@auto.com")</f>
        <v>eval_89@auto.com</v>
      </c>
      <c r="O457" t="inlineStr">
        <is>
          <t>b9206a6ab6054487a3aa501f9d925ab8</t>
        </is>
      </c>
    </row>
    <row r="458" ht="25.5" customHeight="1">
      <c r="A458" t="inlineStr">
        <is>
          <t>Photo Quote Creator</t>
        </is>
      </c>
      <c r="B458">
        <v>36</v>
      </c>
      <c r="C458" t="inlineStr">
        <is>
          <t>@陈佳杰</t>
        </is>
      </c>
      <c r="D458">
        <v>1</v>
      </c>
      <c r="E458"/>
      <c r="F458" t="inlineStr">
        <is>
          <t>@杨春玉</t>
        </is>
      </c>
      <c r="G458">
        <v>1</v>
      </c>
      <c r="H458"/>
      <c r="I458">
        <v>1</v>
      </c>
      <c r="J458" t="inlineStr">
        <is>
          <t>Attempt to upload an image with resolution lower than 1080p and verify that an error message is displayed</t>
        </is>
      </c>
      <c r="K458" t="inlineStr">
        <is>
          <t>尝试上传分辨率低于1080P的图片并验证展示错误提示</t>
        </is>
      </c>
      <c r="L458" s="2" t="str">
        <f>=HYPERLINK("http://pre.mgx.dev/chat/20be6d61da5b413a962aa3c17c54c87c", "http://pre.mgx.dev/chat/20be6d61da5b413a962aa3c17c54c87c")</f>
        <v>http://pre.mgx.dev/chat/20be6d61da5b413a962aa3c17c54c87c</v>
      </c>
      <c r="M458" s="2" t="str">
        <f>=HYPERLINK("", "https://45762-20be6d61da5b413a962aa3c17c54c87c-3-latest.app.beta.mgx.dev")</f>
        <v>https://45762-20be6d61da5b413a962aa3c17c54c87c-3-latest.app.beta.mgx.dev</v>
      </c>
      <c r="N458" s="2" t="str">
        <f>=HYPERLINK("mailto:eval_52@auto.com", "eval_52@auto.com")</f>
        <v>eval_52@auto.com</v>
      </c>
      <c r="O458" t="inlineStr">
        <is>
          <t>20be6d61da5b413a962aa3c17c54c87c</t>
        </is>
      </c>
    </row>
    <row r="459" ht="25.5" customHeight="1">
      <c r="A459" t="inlineStr">
        <is>
          <t>Photo Quote Creator</t>
        </is>
      </c>
      <c r="B459">
        <v>36</v>
      </c>
      <c r="C459" t="inlineStr">
        <is>
          <t>@陈佳杰</t>
        </is>
      </c>
      <c r="D459">
        <v>1</v>
      </c>
      <c r="E459"/>
      <c r="F459" t="inlineStr">
        <is>
          <t>@杨春玉</t>
        </is>
      </c>
      <c r="G459">
        <v>1</v>
      </c>
      <c r="H459"/>
      <c r="I459">
        <v>2</v>
      </c>
      <c r="J459" t="inlineStr">
        <is>
          <t>Check that preview thumbnails are displayed for each template</t>
        </is>
      </c>
      <c r="K459" t="inlineStr">
        <is>
          <t>检查每个模板均展示预览缩略图</t>
        </is>
      </c>
      <c r="L459" s="2" t="str">
        <f>=HYPERLINK("http://pre.mgx.dev/chat/20be6d61da5b413a962aa3c17c54c87c", "http://pre.mgx.dev/chat/20be6d61da5b413a962aa3c17c54c87c")</f>
        <v>http://pre.mgx.dev/chat/20be6d61da5b413a962aa3c17c54c87c</v>
      </c>
      <c r="M459" s="2" t="str">
        <f>=HYPERLINK("", "https://45762-20be6d61da5b413a962aa3c17c54c87c-3-latest.app.beta.mgx.dev")</f>
        <v>https://45762-20be6d61da5b413a962aa3c17c54c87c-3-latest.app.beta.mgx.dev</v>
      </c>
      <c r="N459" s="2" t="str">
        <f>=HYPERLINK("mailto:eval_52@auto.com", "eval_52@auto.com")</f>
        <v>eval_52@auto.com</v>
      </c>
      <c r="O459" t="inlineStr">
        <is>
          <t>20be6d61da5b413a962aa3c17c54c87c</t>
        </is>
      </c>
    </row>
    <row r="460" ht="25.5" customHeight="1">
      <c r="A460" t="inlineStr">
        <is>
          <t>Photo Quote Creator</t>
        </is>
      </c>
      <c r="B460">
        <v>36</v>
      </c>
      <c r="C460" t="inlineStr">
        <is>
          <t>@陈佳杰</t>
        </is>
      </c>
      <c r="D460">
        <v>0</v>
      </c>
      <c r="E460" t="inlineStr">
        <is>
          <t>交互后报错</t>
        </is>
      </c>
      <c r="F460" t="inlineStr">
        <is>
          <t>@杨春玉</t>
        </is>
      </c>
      <c r="G460">
        <v>0</v>
      </c>
      <c r="H460" t="inlineStr">
        <is>
          <t>不可访问</t>
        </is>
      </c>
      <c r="I460">
        <v>3</v>
      </c>
      <c r="J460" t="inlineStr">
        <is>
          <t>Confirm that the decorative elements panel is visible and accessible</t>
        </is>
      </c>
      <c r="K460" t="inlineStr">
        <is>
          <t>确认装饰元素面板可见且可访问</t>
        </is>
      </c>
      <c r="L460" s="2" t="str">
        <f>=HYPERLINK("http://pre.mgx.dev/chat/20be6d61da5b413a962aa3c17c54c87c", "http://pre.mgx.dev/chat/20be6d61da5b413a962aa3c17c54c87c")</f>
        <v>http://pre.mgx.dev/chat/20be6d61da5b413a962aa3c17c54c87c</v>
      </c>
      <c r="M460" s="2" t="str">
        <f>=HYPERLINK("", "https://45762-20be6d61da5b413a962aa3c17c54c87c-3-latest.app.beta.mgx.dev")</f>
        <v>https://45762-20be6d61da5b413a962aa3c17c54c87c-3-latest.app.beta.mgx.dev</v>
      </c>
      <c r="N460" s="2" t="str">
        <f>=HYPERLINK("mailto:eval_52@auto.com", "eval_52@auto.com")</f>
        <v>eval_52@auto.com</v>
      </c>
      <c r="O460" t="inlineStr">
        <is>
          <t>20be6d61da5b413a962aa3c17c54c87c</t>
        </is>
      </c>
    </row>
    <row r="461" ht="25.5" customHeight="1">
      <c r="A461" t="inlineStr">
        <is>
          <t>Photo Quote Creator</t>
        </is>
      </c>
      <c r="B461">
        <v>36</v>
      </c>
      <c r="C461" t="inlineStr">
        <is>
          <t>@陈佳杰</t>
        </is>
      </c>
      <c r="D461">
        <v>1</v>
      </c>
      <c r="E461"/>
      <c r="F461" t="inlineStr">
        <is>
          <t>@杨春玉</t>
        </is>
      </c>
      <c r="G461">
        <v>1</v>
      </c>
      <c r="H461"/>
      <c r="I461">
        <v>4</v>
      </c>
      <c r="J461" t="inlineStr">
        <is>
          <t>Confirm that the template selection system is visible on the webpage</t>
        </is>
      </c>
      <c r="K461" t="inlineStr">
        <is>
          <t>确认网页上展示模板选择系统</t>
        </is>
      </c>
      <c r="L461" s="2" t="str">
        <f>=HYPERLINK("http://pre.mgx.dev/chat/20be6d61da5b413a962aa3c17c54c87c", "http://pre.mgx.dev/chat/20be6d61da5b413a962aa3c17c54c87c")</f>
        <v>http://pre.mgx.dev/chat/20be6d61da5b413a962aa3c17c54c87c</v>
      </c>
      <c r="M461" s="2" t="str">
        <f>=HYPERLINK("", "https://45762-20be6d61da5b413a962aa3c17c54c87c-3-latest.app.beta.mgx.dev")</f>
        <v>https://45762-20be6d61da5b413a962aa3c17c54c87c-3-latest.app.beta.mgx.dev</v>
      </c>
      <c r="N461" s="2" t="str">
        <f>=HYPERLINK("mailto:eval_52@auto.com", "eval_52@auto.com")</f>
        <v>eval_52@auto.com</v>
      </c>
      <c r="O461" t="inlineStr">
        <is>
          <t>20be6d61da5b413a962aa3c17c54c87c</t>
        </is>
      </c>
    </row>
    <row r="462" ht="25.5" customHeight="1">
      <c r="A462" t="inlineStr">
        <is>
          <t>Photo Quote Creator</t>
        </is>
      </c>
      <c r="B462">
        <v>36</v>
      </c>
      <c r="C462" t="inlineStr">
        <is>
          <t>@陈佳杰</t>
        </is>
      </c>
      <c r="D462">
        <v>1</v>
      </c>
      <c r="E462"/>
      <c r="F462" t="inlineStr">
        <is>
          <t>@杨春玉</t>
        </is>
      </c>
      <c r="G462">
        <v>1</v>
      </c>
      <c r="H462"/>
      <c r="I462">
        <v>5</v>
      </c>
      <c r="J462" t="inlineStr">
        <is>
          <t>Test applying a template to an uploaded image and verify that it is applied correctly</t>
        </is>
      </c>
      <c r="K462" t="inlineStr">
        <is>
          <t>测试为上传的图片应用模板并验证应用效果正确</t>
        </is>
      </c>
      <c r="L462" s="2" t="str">
        <f>=HYPERLINK("http://pre.mgx.dev/chat/20be6d61da5b413a962aa3c17c54c87c", "http://pre.mgx.dev/chat/20be6d61da5b413a962aa3c17c54c87c")</f>
        <v>http://pre.mgx.dev/chat/20be6d61da5b413a962aa3c17c54c87c</v>
      </c>
      <c r="M462" s="2" t="str">
        <f>=HYPERLINK("", "https://45762-20be6d61da5b413a962aa3c17c54c87c-3-latest.app.beta.mgx.dev")</f>
        <v>https://45762-20be6d61da5b413a962aa3c17c54c87c-3-latest.app.beta.mgx.dev</v>
      </c>
      <c r="N462" s="2" t="str">
        <f>=HYPERLINK("mailto:eval_52@auto.com", "eval_52@auto.com")</f>
        <v>eval_52@auto.com</v>
      </c>
      <c r="O462" t="inlineStr">
        <is>
          <t>20be6d61da5b413a962aa3c17c54c87c</t>
        </is>
      </c>
    </row>
    <row r="463" ht="25.5" customHeight="1">
      <c r="A463" t="inlineStr">
        <is>
          <t>Photo Quote Creator</t>
        </is>
      </c>
      <c r="B463">
        <v>36</v>
      </c>
      <c r="C463" t="inlineStr">
        <is>
          <t>@陈佳杰</t>
        </is>
      </c>
      <c r="D463">
        <v>1</v>
      </c>
      <c r="E463"/>
      <c r="F463" t="inlineStr">
        <is>
          <t>@杨春玉</t>
        </is>
      </c>
      <c r="G463">
        <v>1</v>
      </c>
      <c r="H463"/>
      <c r="I463">
        <v>6</v>
      </c>
      <c r="J463" t="inlineStr">
        <is>
          <t>Test different quality options when exporting and verify that they affect the output</t>
        </is>
      </c>
      <c r="K463" t="inlineStr">
        <is>
          <t>测试导出时选择不同画质选项并验证对输出文件有影响</t>
        </is>
      </c>
      <c r="L463" s="2" t="str">
        <f>=HYPERLINK("http://pre.mgx.dev/chat/20be6d61da5b413a962aa3c17c54c87c", "http://pre.mgx.dev/chat/20be6d61da5b413a962aa3c17c54c87c")</f>
        <v>http://pre.mgx.dev/chat/20be6d61da5b413a962aa3c17c54c87c</v>
      </c>
      <c r="M463" s="2" t="str">
        <f>=HYPERLINK("", "https://45762-20be6d61da5b413a962aa3c17c54c87c-3-latest.app.beta.mgx.dev")</f>
        <v>https://45762-20be6d61da5b413a962aa3c17c54c87c-3-latest.app.beta.mgx.dev</v>
      </c>
      <c r="N463" s="2" t="str">
        <f>=HYPERLINK("mailto:eval_52@auto.com", "eval_52@auto.com")</f>
        <v>eval_52@auto.com</v>
      </c>
      <c r="O463" t="inlineStr">
        <is>
          <t>20be6d61da5b413a962aa3c17c54c87c</t>
        </is>
      </c>
    </row>
    <row r="464" ht="25.5" customHeight="1">
      <c r="A464" t="inlineStr">
        <is>
          <t>Photo Quote Creator</t>
        </is>
      </c>
      <c r="B464">
        <v>36</v>
      </c>
      <c r="C464" t="inlineStr">
        <is>
          <t>@陈佳杰</t>
        </is>
      </c>
      <c r="D464">
        <v>0</v>
      </c>
      <c r="E464" t="inlineStr">
        <is>
          <t>元素无法选择，无法验证该功能</t>
        </is>
      </c>
      <c r="F464" t="inlineStr">
        <is>
          <t>@杨春玉</t>
        </is>
      </c>
      <c r="G464">
        <v>1</v>
      </c>
      <c r="H464"/>
      <c r="I464">
        <v>7</v>
      </c>
      <c r="J464" t="inlineStr">
        <is>
          <t>Test exporting the final composition as a JPG file</t>
        </is>
      </c>
      <c r="K464" t="inlineStr">
        <is>
          <t>测试将最终合成作品导出为JPG文件</t>
        </is>
      </c>
      <c r="L464" s="2" t="str">
        <f>=HYPERLINK("http://pre.mgx.dev/chat/20be6d61da5b413a962aa3c17c54c87c", "http://pre.mgx.dev/chat/20be6d61da5b413a962aa3c17c54c87c")</f>
        <v>http://pre.mgx.dev/chat/20be6d61da5b413a962aa3c17c54c87c</v>
      </c>
      <c r="M464" s="2" t="str">
        <f>=HYPERLINK("", "https://45762-20be6d61da5b413a962aa3c17c54c87c-3-latest.app.beta.mgx.dev")</f>
        <v>https://45762-20be6d61da5b413a962aa3c17c54c87c-3-latest.app.beta.mgx.dev</v>
      </c>
      <c r="N464" s="2" t="str">
        <f>=HYPERLINK("mailto:eval_52@auto.com", "eval_52@auto.com")</f>
        <v>eval_52@auto.com</v>
      </c>
      <c r="O464" t="inlineStr">
        <is>
          <t>20be6d61da5b413a962aa3c17c54c87c</t>
        </is>
      </c>
    </row>
    <row r="465" ht="25.5" customHeight="1">
      <c r="A465" t="inlineStr">
        <is>
          <t>Photo Quote Creator</t>
        </is>
      </c>
      <c r="B465">
        <v>36</v>
      </c>
      <c r="C465" t="inlineStr">
        <is>
          <t>@陈佳杰</t>
        </is>
      </c>
      <c r="D465">
        <v>0</v>
      </c>
      <c r="E465" t="inlineStr">
        <is>
          <t>元素无法选择，无法验证该功能</t>
        </is>
      </c>
      <c r="F465" t="inlineStr">
        <is>
          <t>@杨春玉</t>
        </is>
      </c>
      <c r="G465">
        <v>1</v>
      </c>
      <c r="H465"/>
      <c r="I465">
        <v>8</v>
      </c>
      <c r="J465" t="inlineStr">
        <is>
          <t>Test exporting the final composition as a PNG file</t>
        </is>
      </c>
      <c r="K465" t="inlineStr">
        <is>
          <t>测试将最终合成作品导出为PNG文件</t>
        </is>
      </c>
      <c r="L465" s="2" t="str">
        <f>=HYPERLINK("http://pre.mgx.dev/chat/20be6d61da5b413a962aa3c17c54c87c", "http://pre.mgx.dev/chat/20be6d61da5b413a962aa3c17c54c87c")</f>
        <v>http://pre.mgx.dev/chat/20be6d61da5b413a962aa3c17c54c87c</v>
      </c>
      <c r="M465" s="2" t="str">
        <f>=HYPERLINK("", "https://45762-20be6d61da5b413a962aa3c17c54c87c-3-latest.app.beta.mgx.dev")</f>
        <v>https://45762-20be6d61da5b413a962aa3c17c54c87c-3-latest.app.beta.mgx.dev</v>
      </c>
      <c r="N465" s="2" t="str">
        <f>=HYPERLINK("mailto:eval_52@auto.com", "eval_52@auto.com")</f>
        <v>eval_52@auto.com</v>
      </c>
      <c r="O465" t="inlineStr">
        <is>
          <t>20be6d61da5b413a962aa3c17c54c87c</t>
        </is>
      </c>
    </row>
    <row r="466" ht="25.5" customHeight="1">
      <c r="A466" t="inlineStr">
        <is>
          <t>Photo Quote Creator</t>
        </is>
      </c>
      <c r="B466">
        <v>36</v>
      </c>
      <c r="C466" t="inlineStr">
        <is>
          <t>@陈佳杰</t>
        </is>
      </c>
      <c r="D466">
        <v>0</v>
      </c>
      <c r="E466" t="inlineStr">
        <is>
          <t>交互后，页面空白</t>
        </is>
      </c>
      <c r="F466" t="inlineStr">
        <is>
          <t>@杨春玉</t>
        </is>
      </c>
      <c r="G466">
        <v>0</v>
      </c>
      <c r="H466" t="inlineStr">
        <is>
          <t>无法添加文字</t>
        </is>
      </c>
      <c r="I466">
        <v>9</v>
      </c>
      <c r="J466" t="inlineStr">
        <is>
          <t>Test font selection by choosing different fonts and ensure they are applied to the text</t>
        </is>
      </c>
      <c r="K466" t="inlineStr">
        <is>
          <t>测试选择不同字体并确保应用于文本</t>
        </is>
      </c>
      <c r="L466" s="2" t="str">
        <f>=HYPERLINK("http://pre.mgx.dev/chat/20be6d61da5b413a962aa3c17c54c87c", "http://pre.mgx.dev/chat/20be6d61da5b413a962aa3c17c54c87c")</f>
        <v>http://pre.mgx.dev/chat/20be6d61da5b413a962aa3c17c54c87c</v>
      </c>
      <c r="M466" s="2" t="str">
        <f>=HYPERLINK("", "https://45762-20be6d61da5b413a962aa3c17c54c87c-3-latest.app.beta.mgx.dev")</f>
        <v>https://45762-20be6d61da5b413a962aa3c17c54c87c-3-latest.app.beta.mgx.dev</v>
      </c>
      <c r="N466" s="2" t="str">
        <f>=HYPERLINK("mailto:eval_52@auto.com", "eval_52@auto.com")</f>
        <v>eval_52@auto.com</v>
      </c>
      <c r="O466" t="inlineStr">
        <is>
          <t>20be6d61da5b413a962aa3c17c54c87c</t>
        </is>
      </c>
    </row>
    <row r="467" ht="25.5" customHeight="1">
      <c r="A467" t="inlineStr">
        <is>
          <t>Photo Quote Creator</t>
        </is>
      </c>
      <c r="B467">
        <v>36</v>
      </c>
      <c r="C467" t="inlineStr">
        <is>
          <t>@陈佳杰</t>
        </is>
      </c>
      <c r="D467">
        <v>1</v>
      </c>
      <c r="E467"/>
      <c r="F467" t="inlineStr">
        <is>
          <t>@杨春玉</t>
        </is>
      </c>
      <c r="G467">
        <v>1</v>
      </c>
      <c r="H467"/>
      <c r="I467">
        <v>10</v>
      </c>
      <c r="J467" t="inlineStr">
        <is>
          <t>Test uploading a JPG image and ensure it is displayed as the background</t>
        </is>
      </c>
      <c r="K467" t="inlineStr">
        <is>
          <t>测试上传JPG图片并确保其作为背景正常展示</t>
        </is>
      </c>
      <c r="L467" s="2" t="str">
        <f>=HYPERLINK("http://pre.mgx.dev/chat/20be6d61da5b413a962aa3c17c54c87c", "http://pre.mgx.dev/chat/20be6d61da5b413a962aa3c17c54c87c")</f>
        <v>http://pre.mgx.dev/chat/20be6d61da5b413a962aa3c17c54c87c</v>
      </c>
      <c r="M467" s="2" t="str">
        <f>=HYPERLINK("", "https://45762-20be6d61da5b413a962aa3c17c54c87c-3-latest.app.beta.mgx.dev")</f>
        <v>https://45762-20be6d61da5b413a962aa3c17c54c87c-3-latest.app.beta.mgx.dev</v>
      </c>
      <c r="N467" s="2" t="str">
        <f>=HYPERLINK("mailto:eval_52@auto.com", "eval_52@auto.com")</f>
        <v>eval_52@auto.com</v>
      </c>
      <c r="O467" t="inlineStr">
        <is>
          <t>20be6d61da5b413a962aa3c17c54c87c</t>
        </is>
      </c>
    </row>
    <row r="468" ht="25.5" customHeight="1">
      <c r="A468" t="inlineStr">
        <is>
          <t>Photo Quote Creator</t>
        </is>
      </c>
      <c r="B468">
        <v>36</v>
      </c>
      <c r="C468" t="inlineStr">
        <is>
          <t>@陈佳杰</t>
        </is>
      </c>
      <c r="D468">
        <v>0</v>
      </c>
      <c r="E468" t="inlineStr">
        <is>
          <t>页面上未找到</t>
        </is>
      </c>
      <c r="F468" t="inlineStr">
        <is>
          <t>@杨春玉</t>
        </is>
      </c>
      <c r="G468">
        <v>1</v>
      </c>
      <c r="H468"/>
      <c r="I468">
        <v>11</v>
      </c>
      <c r="J468" t="inlineStr">
        <is>
          <t>Verify that at least 5 pre-designed layout options are available</t>
        </is>
      </c>
      <c r="K468" t="inlineStr">
        <is>
          <t>验证至少提供5种预设布局选项</t>
        </is>
      </c>
      <c r="L468" s="2" t="str">
        <f>=HYPERLINK("http://pre.mgx.dev/chat/20be6d61da5b413a962aa3c17c54c87c", "http://pre.mgx.dev/chat/20be6d61da5b413a962aa3c17c54c87c")</f>
        <v>http://pre.mgx.dev/chat/20be6d61da5b413a962aa3c17c54c87c</v>
      </c>
      <c r="M468" s="2" t="str">
        <f>=HYPERLINK("", "https://45762-20be6d61da5b413a962aa3c17c54c87c-3-latest.app.beta.mgx.dev")</f>
        <v>https://45762-20be6d61da5b413a962aa3c17c54c87c-3-latest.app.beta.mgx.dev</v>
      </c>
      <c r="N468" s="2" t="str">
        <f>=HYPERLINK("mailto:eval_52@auto.com", "eval_52@auto.com")</f>
        <v>eval_52@auto.com</v>
      </c>
      <c r="O468" t="inlineStr">
        <is>
          <t>20be6d61da5b413a962aa3c17c54c87c</t>
        </is>
      </c>
    </row>
    <row r="469" ht="25.5" customHeight="1">
      <c r="A469" t="inlineStr">
        <is>
          <t>Photo Quote Creator</t>
        </is>
      </c>
      <c r="B469">
        <v>36</v>
      </c>
      <c r="C469" t="inlineStr">
        <is>
          <t>@陈佳杰</t>
        </is>
      </c>
      <c r="D469">
        <v>1</v>
      </c>
      <c r="E469"/>
      <c r="F469" t="inlineStr">
        <is>
          <t>@杨春玉</t>
        </is>
      </c>
      <c r="G469">
        <v>1</v>
      </c>
      <c r="H469"/>
      <c r="I469">
        <v>12</v>
      </c>
      <c r="J469" t="inlineStr">
        <is>
          <t>Verify that the export function is present and accessible</t>
        </is>
      </c>
      <c r="K469" t="inlineStr">
        <is>
          <t>验证导出功能存在且可访问</t>
        </is>
      </c>
      <c r="L469" s="2" t="str">
        <f>=HYPERLINK("http://pre.mgx.dev/chat/20be6d61da5b413a962aa3c17c54c87c", "http://pre.mgx.dev/chat/20be6d61da5b413a962aa3c17c54c87c")</f>
        <v>http://pre.mgx.dev/chat/20be6d61da5b413a962aa3c17c54c87c</v>
      </c>
      <c r="M469" s="2" t="str">
        <f>=HYPERLINK("", "https://45762-20be6d61da5b413a962aa3c17c54c87c-3-latest.app.beta.mgx.dev")</f>
        <v>https://45762-20be6d61da5b413a962aa3c17c54c87c-3-latest.app.beta.mgx.dev</v>
      </c>
      <c r="N469" s="2" t="str">
        <f>=HYPERLINK("mailto:eval_52@auto.com", "eval_52@auto.com")</f>
        <v>eval_52@auto.com</v>
      </c>
      <c r="O469" t="inlineStr">
        <is>
          <t>20be6d61da5b413a962aa3c17c54c87c</t>
        </is>
      </c>
    </row>
    <row r="470" ht="25.5" customHeight="1">
      <c r="A470" t="inlineStr">
        <is>
          <t>Photo Quote Creator</t>
        </is>
      </c>
      <c r="B470">
        <v>36</v>
      </c>
      <c r="C470" t="inlineStr">
        <is>
          <t>@陈佳杰</t>
        </is>
      </c>
      <c r="D470">
        <v>1</v>
      </c>
      <c r="E470"/>
      <c r="F470" t="inlineStr">
        <is>
          <t>@杨春玉</t>
        </is>
      </c>
      <c r="G470">
        <v>1</v>
      </c>
      <c r="H470"/>
      <c r="I470">
        <v>13</v>
      </c>
      <c r="J470" t="inlineStr">
        <is>
          <t>Verify that the exported image has a minimum resolution of 1920x1080</t>
        </is>
      </c>
      <c r="K470" t="inlineStr">
        <is>
          <t>验证导出的图片分辨率最低为1920x1080</t>
        </is>
      </c>
      <c r="L470" s="2" t="str">
        <f>=HYPERLINK("http://pre.mgx.dev/chat/20be6d61da5b413a962aa3c17c54c87c", "http://pre.mgx.dev/chat/20be6d61da5b413a962aa3c17c54c87c")</f>
        <v>http://pre.mgx.dev/chat/20be6d61da5b413a962aa3c17c54c87c</v>
      </c>
      <c r="M470" s="2" t="str">
        <f>=HYPERLINK("", "https://45762-20be6d61da5b413a962aa3c17c54c87c-3-latest.app.beta.mgx.dev")</f>
        <v>https://45762-20be6d61da5b413a962aa3c17c54c87c-3-latest.app.beta.mgx.dev</v>
      </c>
      <c r="N470" s="2" t="str">
        <f>=HYPERLINK("mailto:eval_52@auto.com", "eval_52@auto.com")</f>
        <v>eval_52@auto.com</v>
      </c>
      <c r="O470" t="inlineStr">
        <is>
          <t>20be6d61da5b413a962aa3c17c54c87c</t>
        </is>
      </c>
    </row>
    <row r="471" ht="25.5" customHeight="1">
      <c r="A471" t="inlineStr">
        <is>
          <t>Photo Quote Creator</t>
        </is>
      </c>
      <c r="B471">
        <v>36</v>
      </c>
      <c r="C471" t="inlineStr">
        <is>
          <t>@陈佳杰</t>
        </is>
      </c>
      <c r="D471">
        <v>1</v>
      </c>
      <c r="E471"/>
      <c r="F471" t="inlineStr">
        <is>
          <t>@杨春玉</t>
        </is>
      </c>
      <c r="G471">
        <v>1</v>
      </c>
      <c r="H471"/>
      <c r="I471">
        <v>14</v>
      </c>
      <c r="J471" t="inlineStr">
        <is>
          <t>Verify that the image preview is displayed correctly after upload</t>
        </is>
      </c>
      <c r="K471" t="inlineStr">
        <is>
          <t>验证图片上传后预览图正确展示</t>
        </is>
      </c>
      <c r="L471" s="2" t="str">
        <f>=HYPERLINK("http://pre.mgx.dev/chat/20be6d61da5b413a962aa3c17c54c87c", "http://pre.mgx.dev/chat/20be6d61da5b413a962aa3c17c54c87c")</f>
        <v>http://pre.mgx.dev/chat/20be6d61da5b413a962aa3c17c54c87c</v>
      </c>
      <c r="M471" s="2" t="str">
        <f>=HYPERLINK("", "https://45762-20be6d61da5b413a962aa3c17c54c87c-3-latest.app.beta.mgx.dev")</f>
        <v>https://45762-20be6d61da5b413a962aa3c17c54c87c-3-latest.app.beta.mgx.dev</v>
      </c>
      <c r="N471" s="2" t="str">
        <f>=HYPERLINK("mailto:eval_52@auto.com", "eval_52@auto.com")</f>
        <v>eval_52@auto.com</v>
      </c>
      <c r="O471" t="inlineStr">
        <is>
          <t>20be6d61da5b413a962aa3c17c54c87c</t>
        </is>
      </c>
    </row>
    <row r="472" ht="25.5" customHeight="1">
      <c r="A472" t="inlineStr">
        <is>
          <t>Photo Quote Creator</t>
        </is>
      </c>
      <c r="B472">
        <v>36</v>
      </c>
      <c r="C472" t="inlineStr">
        <is>
          <t>@陈佳杰</t>
        </is>
      </c>
      <c r="D472">
        <v>1</v>
      </c>
      <c r="E472"/>
      <c r="F472" t="inlineStr">
        <is>
          <t>@杨春玉</t>
        </is>
      </c>
      <c r="G472">
        <v>1</v>
      </c>
      <c r="H472"/>
      <c r="I472">
        <v>15</v>
      </c>
      <c r="J472" t="inlineStr">
        <is>
          <t>Verify that the image upload interface is present and visible on the webpage</t>
        </is>
      </c>
      <c r="K472" t="inlineStr">
        <is>
          <t>验证网页上存在且可见图片上传界面</t>
        </is>
      </c>
      <c r="L472" s="2" t="str">
        <f>=HYPERLINK("http://pre.mgx.dev/chat/20be6d61da5b413a962aa3c17c54c87c", "http://pre.mgx.dev/chat/20be6d61da5b413a962aa3c17c54c87c")</f>
        <v>http://pre.mgx.dev/chat/20be6d61da5b413a962aa3c17c54c87c</v>
      </c>
      <c r="M472" s="2" t="str">
        <f>=HYPERLINK("", "https://45762-20be6d61da5b413a962aa3c17c54c87c-3-latest.app.beta.mgx.dev")</f>
        <v>https://45762-20be6d61da5b413a962aa3c17c54c87c-3-latest.app.beta.mgx.dev</v>
      </c>
      <c r="N472" s="2" t="str">
        <f>=HYPERLINK("mailto:eval_52@auto.com", "eval_52@auto.com")</f>
        <v>eval_52@auto.com</v>
      </c>
      <c r="O472" t="inlineStr">
        <is>
          <t>20be6d61da5b413a962aa3c17c54c87c</t>
        </is>
      </c>
    </row>
    <row r="473" ht="25.5" customHeight="1">
      <c r="A473" t="inlineStr">
        <is>
          <t>Photo Quote Creator</t>
        </is>
      </c>
      <c r="B473">
        <v>36</v>
      </c>
      <c r="C473" t="inlineStr">
        <is>
          <t>@陈佳杰</t>
        </is>
      </c>
      <c r="D473">
        <v>0</v>
      </c>
      <c r="E473" t="inlineStr">
        <is>
          <t>存在但无法访问</t>
        </is>
      </c>
      <c r="F473" t="inlineStr">
        <is>
          <t>@杨春玉</t>
        </is>
      </c>
      <c r="G473">
        <v>0</v>
      </c>
      <c r="H473" t="inlineStr">
        <is>
          <t>无法添加文字</t>
        </is>
      </c>
      <c r="I473">
        <v>16</v>
      </c>
      <c r="J473" t="inlineStr">
        <is>
          <t>Verify that the text editor interface is present and accessible</t>
        </is>
      </c>
      <c r="K473" t="inlineStr">
        <is>
          <t>验证文本编辑器界面存在且可访问</t>
        </is>
      </c>
      <c r="L473" s="2" t="str">
        <f>=HYPERLINK("http://pre.mgx.dev/chat/20be6d61da5b413a962aa3c17c54c87c", "http://pre.mgx.dev/chat/20be6d61da5b413a962aa3c17c54c87c")</f>
        <v>http://pre.mgx.dev/chat/20be6d61da5b413a962aa3c17c54c87c</v>
      </c>
      <c r="M473" s="2" t="str">
        <f>=HYPERLINK("", "https://45762-20be6d61da5b413a962aa3c17c54c87c-3-latest.app.beta.mgx.dev")</f>
        <v>https://45762-20be6d61da5b413a962aa3c17c54c87c-3-latest.app.beta.mgx.dev</v>
      </c>
      <c r="N473" s="2" t="str">
        <f>=HYPERLINK("mailto:eval_52@auto.com", "eval_52@auto.com")</f>
        <v>eval_52@auto.com</v>
      </c>
      <c r="O473" t="inlineStr">
        <is>
          <t>20be6d61da5b413a962aa3c17c54c87c</t>
        </is>
      </c>
    </row>
    <row r="474" ht="25.5" customHeight="1">
      <c r="A474" t="inlineStr">
        <is>
          <t>PhotoTales Blog</t>
        </is>
      </c>
      <c r="B474">
        <v>37</v>
      </c>
      <c r="C474" t="inlineStr">
        <is>
          <t>@陈佳杰</t>
        </is>
      </c>
      <c r="D474">
        <v>1</v>
      </c>
      <c r="E474"/>
      <c r="F474" t="inlineStr">
        <is>
          <t>@杨春玉</t>
        </is>
      </c>
      <c r="G474">
        <v>1</v>
      </c>
      <c r="H474"/>
      <c r="I474">
        <v>1</v>
      </c>
      <c r="J474" t="inlineStr">
        <is>
          <t>Attempt login with incorrect password</t>
        </is>
      </c>
      <c r="K474" t="inlineStr">
        <is>
          <t>尝试使用错误密码登录</t>
        </is>
      </c>
      <c r="L474" s="2" t="str">
        <f>=HYPERLINK("https://atoms.dev/chat/45aeda14321f4ae0a79eb14db478cb68", "https://atoms.dev/chat/45aeda14321f4ae0a79eb14db478cb68")</f>
        <v>https://atoms.dev/chat/45aeda14321f4ae0a79eb14db478cb68</v>
      </c>
      <c r="M474" s="2" t="str">
        <f>=HYPERLINK("https://890126-45aeda14321f4ae0a79eb14db478cb68-latest-dev.dev.atoms.dev", "https://890126-45aeda14321f4ae0a79eb14db478cb68-latest-dev.dev.atoms.dev")</f>
        <v>https://890126-45aeda14321f4ae0a79eb14db478cb68-latest-dev.dev.atoms.dev</v>
      </c>
      <c r="N474" s="2" t="str">
        <f>=HYPERLINK("http://press_test5", "press_test5")</f>
        <v>press_test5</v>
      </c>
      <c r="O474" t="inlineStr">
        <is>
          <t>45aeda14321f4ae0a79eb14db478cb68</t>
        </is>
      </c>
    </row>
    <row r="475" ht="25.5" customHeight="1">
      <c r="A475" t="inlineStr">
        <is>
          <t>PhotoTales Blog</t>
        </is>
      </c>
      <c r="B475">
        <v>37</v>
      </c>
      <c r="C475" t="inlineStr">
        <is>
          <t>@陈佳杰</t>
        </is>
      </c>
      <c r="D475">
        <v>0</v>
      </c>
      <c r="E475" t="inlineStr">
        <is>
          <t>无法编辑已发布的故事</t>
        </is>
      </c>
      <c r="F475" t="inlineStr">
        <is>
          <t>@杨春玉</t>
        </is>
      </c>
      <c r="G475">
        <v>0</v>
      </c>
      <c r="H475" t="inlineStr">
        <is>
          <t>无法编辑已发布的故事</t>
        </is>
      </c>
      <c r="I475">
        <v>2</v>
      </c>
      <c r="J475" t="inlineStr">
        <is>
          <t>Change a story's visibility from public to friends-only</t>
        </is>
      </c>
      <c r="K475" t="inlineStr">
        <is>
          <t>将故事的可见性从公开改为仅好友可见</t>
        </is>
      </c>
      <c r="L475" s="2" t="str">
        <f>=HYPERLINK("https://atoms.dev/chat/45aeda14321f4ae0a79eb14db478cb68", "https://atoms.dev/chat/45aeda14321f4ae0a79eb14db478cb68")</f>
        <v>https://atoms.dev/chat/45aeda14321f4ae0a79eb14db478cb68</v>
      </c>
      <c r="M475" s="2" t="str">
        <f>=HYPERLINK("https://890126-45aeda14321f4ae0a79eb14db478cb68-latest-dev.dev.atoms.dev", "https://890126-45aeda14321f4ae0a79eb14db478cb68-latest-dev.dev.atoms.dev")</f>
        <v>https://890126-45aeda14321f4ae0a79eb14db478cb68-latest-dev.dev.atoms.dev</v>
      </c>
      <c r="N475" s="2" t="str">
        <f>=HYPERLINK("http://press_test5", "press_test5")</f>
        <v>press_test5</v>
      </c>
      <c r="O475" t="inlineStr">
        <is>
          <t>45aeda14321f4ae0a79eb14db478cb68</t>
        </is>
      </c>
    </row>
    <row r="476" ht="25.5" customHeight="1">
      <c r="A476" t="inlineStr">
        <is>
          <t>PhotoTales Blog</t>
        </is>
      </c>
      <c r="B476">
        <v>37</v>
      </c>
      <c r="C476" t="inlineStr">
        <is>
          <t>@陈佳杰</t>
        </is>
      </c>
      <c r="D476">
        <v>0</v>
      </c>
      <c r="E476" t="inlineStr">
        <is>
          <t>无法查看他人的故事</t>
        </is>
      </c>
      <c r="F476" t="inlineStr">
        <is>
          <t>@杨春玉</t>
        </is>
      </c>
      <c r="G476">
        <v>0</v>
      </c>
      <c r="H476" t="inlineStr">
        <is>
          <t>无法关注他人</t>
        </is>
      </c>
      <c r="I476">
        <v>3</v>
      </c>
      <c r="J476" t="inlineStr">
        <is>
          <t>Check notification for a new follower</t>
        </is>
      </c>
      <c r="K476" t="inlineStr">
        <is>
          <t>检查新粉丝关注的通知</t>
        </is>
      </c>
      <c r="L476" s="2" t="str">
        <f>=HYPERLINK("https://atoms.dev/chat/45aeda14321f4ae0a79eb14db478cb68", "https://atoms.dev/chat/45aeda14321f4ae0a79eb14db478cb68")</f>
        <v>https://atoms.dev/chat/45aeda14321f4ae0a79eb14db478cb68</v>
      </c>
      <c r="M476" s="2" t="str">
        <f>=HYPERLINK("https://890126-45aeda14321f4ae0a79eb14db478cb68-latest-dev.dev.atoms.dev", "https://890126-45aeda14321f4ae0a79eb14db478cb68-latest-dev.dev.atoms.dev")</f>
        <v>https://890126-45aeda14321f4ae0a79eb14db478cb68-latest-dev.dev.atoms.dev</v>
      </c>
      <c r="N476" s="2" t="str">
        <f>=HYPERLINK("http://press_test5", "press_test5")</f>
        <v>press_test5</v>
      </c>
      <c r="O476" t="inlineStr">
        <is>
          <t>45aeda14321f4ae0a79eb14db478cb68</t>
        </is>
      </c>
    </row>
    <row r="477" ht="25.5" customHeight="1">
      <c r="A477" t="inlineStr">
        <is>
          <t>PhotoTales Blog</t>
        </is>
      </c>
      <c r="B477">
        <v>37</v>
      </c>
      <c r="C477" t="inlineStr">
        <is>
          <t>@陈佳杰</t>
        </is>
      </c>
      <c r="D477">
        <v>0</v>
      </c>
      <c r="E477" t="inlineStr">
        <is>
          <t>仅能评论自己的</t>
        </is>
      </c>
      <c r="F477" t="inlineStr">
        <is>
          <t>@杨春玉</t>
        </is>
      </c>
      <c r="G477">
        <v>1</v>
      </c>
      <c r="H477"/>
      <c r="I477">
        <v>4</v>
      </c>
      <c r="J477" t="inlineStr">
        <is>
          <t>Post a comment on a photo</t>
        </is>
      </c>
      <c r="K477" t="inlineStr">
        <is>
          <t>在照片下发布评论</t>
        </is>
      </c>
      <c r="L477" s="2" t="str">
        <f>=HYPERLINK("https://atoms.dev/chat/45aeda14321f4ae0a79eb14db478cb68", "https://atoms.dev/chat/45aeda14321f4ae0a79eb14db478cb68")</f>
        <v>https://atoms.dev/chat/45aeda14321f4ae0a79eb14db478cb68</v>
      </c>
      <c r="M477" s="2" t="str">
        <f>=HYPERLINK("https://890126-45aeda14321f4ae0a79eb14db478cb68-latest-dev.dev.atoms.dev", "https://890126-45aeda14321f4ae0a79eb14db478cb68-latest-dev.dev.atoms.dev")</f>
        <v>https://890126-45aeda14321f4ae0a79eb14db478cb68-latest-dev.dev.atoms.dev</v>
      </c>
      <c r="N477" s="2" t="str">
        <f>=HYPERLINK("http://press_test5", "press_test5")</f>
        <v>press_test5</v>
      </c>
      <c r="O477" t="inlineStr">
        <is>
          <t>45aeda14321f4ae0a79eb14db478cb68</t>
        </is>
      </c>
    </row>
    <row r="478" ht="25.5" customHeight="1">
      <c r="A478" t="inlineStr">
        <is>
          <t>PhotoTales Blog</t>
        </is>
      </c>
      <c r="B478">
        <v>37</v>
      </c>
      <c r="C478" t="inlineStr">
        <is>
          <t>@陈佳杰</t>
        </is>
      </c>
      <c r="D478">
        <v>1</v>
      </c>
      <c r="E478"/>
      <c r="F478" t="inlineStr">
        <is>
          <t>@杨春玉</t>
        </is>
      </c>
      <c r="G478">
        <v>1</v>
      </c>
      <c r="H478"/>
      <c r="I478">
        <v>5</v>
      </c>
      <c r="J478" t="inlineStr">
        <is>
          <t>Test login functionality with correct credentials</t>
        </is>
      </c>
      <c r="K478" t="inlineStr">
        <is>
          <t>测试使用正确的账号信息登录</t>
        </is>
      </c>
      <c r="L478" s="2" t="str">
        <f>=HYPERLINK("https://atoms.dev/chat/45aeda14321f4ae0a79eb14db478cb68", "https://atoms.dev/chat/45aeda14321f4ae0a79eb14db478cb68")</f>
        <v>https://atoms.dev/chat/45aeda14321f4ae0a79eb14db478cb68</v>
      </c>
      <c r="M478" s="2" t="str">
        <f>=HYPERLINK("https://890126-45aeda14321f4ae0a79eb14db478cb68-latest-dev.dev.atoms.dev", "https://890126-45aeda14321f4ae0a79eb14db478cb68-latest-dev.dev.atoms.dev")</f>
        <v>https://890126-45aeda14321f4ae0a79eb14db478cb68-latest-dev.dev.atoms.dev</v>
      </c>
      <c r="N478" s="2" t="str">
        <f>=HYPERLINK("http://press_test5", "press_test5")</f>
        <v>press_test5</v>
      </c>
      <c r="O478" t="inlineStr">
        <is>
          <t>45aeda14321f4ae0a79eb14db478cb68</t>
        </is>
      </c>
    </row>
    <row r="479" ht="25.5" customHeight="1">
      <c r="A479" t="inlineStr">
        <is>
          <t>PhotoTales Blog</t>
        </is>
      </c>
      <c r="B479">
        <v>37</v>
      </c>
      <c r="C479" t="inlineStr">
        <is>
          <t>@陈佳杰</t>
        </is>
      </c>
      <c r="D479">
        <v>1</v>
      </c>
      <c r="E479"/>
      <c r="F479" t="inlineStr">
        <is>
          <t>@杨春玉</t>
        </is>
      </c>
      <c r="G479">
        <v>0</v>
      </c>
      <c r="H479" t="inlineStr">
        <is>
          <t>无注册功能</t>
        </is>
      </c>
      <c r="I479">
        <v>6</v>
      </c>
      <c r="J479" t="inlineStr">
        <is>
          <t>Verify user registration with valid email and password</t>
        </is>
      </c>
      <c r="K479" t="inlineStr">
        <is>
          <t>验证使用有效邮箱和密码完成用户注册</t>
        </is>
      </c>
      <c r="L479" s="2" t="str">
        <f>=HYPERLINK("https://atoms.dev/chat/45aeda14321f4ae0a79eb14db478cb68", "https://atoms.dev/chat/45aeda14321f4ae0a79eb14db478cb68")</f>
        <v>https://atoms.dev/chat/45aeda14321f4ae0a79eb14db478cb68</v>
      </c>
      <c r="M479" s="2" t="str">
        <f>=HYPERLINK("https://890126-45aeda14321f4ae0a79eb14db478cb68-latest-dev.dev.atoms.dev", "https://890126-45aeda14321f4ae0a79eb14db478cb68-latest-dev.dev.atoms.dev")</f>
        <v>https://890126-45aeda14321f4ae0a79eb14db478cb68-latest-dev.dev.atoms.dev</v>
      </c>
      <c r="N479" s="2" t="str">
        <f>=HYPERLINK("http://press_test5", "press_test5")</f>
        <v>press_test5</v>
      </c>
      <c r="O479" t="inlineStr">
        <is>
          <t>45aeda14321f4ae0a79eb14db478cb68</t>
        </is>
      </c>
    </row>
    <row r="480" ht="25.5" customHeight="1">
      <c r="A480" t="inlineStr">
        <is>
          <t>Product Showcase</t>
        </is>
      </c>
      <c r="B480">
        <v>38</v>
      </c>
      <c r="C480" t="inlineStr">
        <is>
          <t>@陈佳杰</t>
        </is>
      </c>
      <c r="D480">
        <v>1</v>
      </c>
      <c r="E480"/>
      <c r="F480" t="inlineStr">
        <is>
          <t>@杨春玉</t>
        </is>
      </c>
      <c r="G480">
        <v>1</v>
      </c>
      <c r="H480"/>
      <c r="I480">
        <v>1</v>
      </c>
      <c r="J480" t="inlineStr">
        <is>
          <t>Check if product titles are visible in the grid layout</t>
        </is>
      </c>
      <c r="K480" t="inlineStr">
        <is>
          <t>检查网格布局中商品标题是否可见</t>
        </is>
      </c>
      <c r="L480" s="2" t="str">
        <f>=HYPERLINK("http://pre.mgx.dev/chat/1851062d5c7d451db15a0e9a17bccbfe", "http://pre.mgx.dev/chat/1851062d5c7d451db15a0e9a17bccbfe")</f>
        <v>http://pre.mgx.dev/chat/1851062d5c7d451db15a0e9a17bccbfe</v>
      </c>
      <c r="M480" s="2" t="str">
        <f>=HYPERLINK("", "https://45786-1851062d5c7d451db15a0e9a17bccbfe-3-latest.app.beta.mgx.dev")</f>
        <v>https://45786-1851062d5c7d451db15a0e9a17bccbfe-3-latest.app.beta.mgx.dev</v>
      </c>
      <c r="N480" s="2" t="str">
        <f>=HYPERLINK("mailto:eval_76@auto.com", "eval_76@auto.com")</f>
        <v>eval_76@auto.com</v>
      </c>
      <c r="O480" t="inlineStr">
        <is>
          <t>1851062d5c7d451db15a0e9a17bccbfe</t>
        </is>
      </c>
    </row>
    <row r="481" ht="25.5" customHeight="1">
      <c r="A481" t="inlineStr">
        <is>
          <t>Product Showcase</t>
        </is>
      </c>
      <c r="B481">
        <v>38</v>
      </c>
      <c r="C481" t="inlineStr">
        <is>
          <t>@陈佳杰</t>
        </is>
      </c>
      <c r="D481">
        <v>1</v>
      </c>
      <c r="E481"/>
      <c r="F481" t="inlineStr">
        <is>
          <t>@杨春玉</t>
        </is>
      </c>
      <c r="G481">
        <v>1</v>
      </c>
      <c r="H481"/>
      <c r="I481">
        <v>2</v>
      </c>
      <c r="J481" t="inlineStr">
        <is>
          <t>Check if search results are displayed correctly in the product grid</t>
        </is>
      </c>
      <c r="K481" t="inlineStr">
        <is>
          <t>检查产品网格中搜索结果展示是否正确</t>
        </is>
      </c>
      <c r="L481" s="2" t="str">
        <f>=HYPERLINK("http://pre.mgx.dev/chat/1851062d5c7d451db15a0e9a17bccbfe", "http://pre.mgx.dev/chat/1851062d5c7d451db15a0e9a17bccbfe")</f>
        <v>http://pre.mgx.dev/chat/1851062d5c7d451db15a0e9a17bccbfe</v>
      </c>
      <c r="M481" s="2" t="str">
        <f>=HYPERLINK("", "https://45786-1851062d5c7d451db15a0e9a17bccbfe-3-latest.app.beta.mgx.dev")</f>
        <v>https://45786-1851062d5c7d451db15a0e9a17bccbfe-3-latest.app.beta.mgx.dev</v>
      </c>
      <c r="N481" s="2" t="str">
        <f>=HYPERLINK("mailto:eval_76@auto.com", "eval_76@auto.com")</f>
        <v>eval_76@auto.com</v>
      </c>
      <c r="O481" t="inlineStr">
        <is>
          <t>1851062d5c7d451db15a0e9a17bccbfe</t>
        </is>
      </c>
    </row>
    <row r="482" ht="25.5" customHeight="1">
      <c r="A482" t="inlineStr">
        <is>
          <t>Product Showcase</t>
        </is>
      </c>
      <c r="B482">
        <v>38</v>
      </c>
      <c r="C482" t="inlineStr">
        <is>
          <t>@陈佳杰</t>
        </is>
      </c>
      <c r="D482">
        <v>1</v>
      </c>
      <c r="E482"/>
      <c r="F482" t="inlineStr">
        <is>
          <t>@杨春玉</t>
        </is>
      </c>
      <c r="G482">
        <v>1</v>
      </c>
      <c r="H482"/>
      <c r="I482">
        <v>3</v>
      </c>
      <c r="J482" t="inlineStr">
        <is>
          <t>Check if the category filter feature is present and visible</t>
        </is>
      </c>
      <c r="K482" t="inlineStr">
        <is>
          <t>检查分类筛选功能存在且可见</t>
        </is>
      </c>
      <c r="L482" s="2" t="str">
        <f>=HYPERLINK("http://pre.mgx.dev/chat/1851062d5c7d451db15a0e9a17bccbfe", "http://pre.mgx.dev/chat/1851062d5c7d451db15a0e9a17bccbfe")</f>
        <v>http://pre.mgx.dev/chat/1851062d5c7d451db15a0e9a17bccbfe</v>
      </c>
      <c r="M482" s="2" t="str">
        <f>=HYPERLINK("", "https://45786-1851062d5c7d451db15a0e9a17bccbfe-3-latest.app.beta.mgx.dev")</f>
        <v>https://45786-1851062d5c7d451db15a0e9a17bccbfe-3-latest.app.beta.mgx.dev</v>
      </c>
      <c r="N482" s="2" t="str">
        <f>=HYPERLINK("mailto:eval_76@auto.com", "eval_76@auto.com")</f>
        <v>eval_76@auto.com</v>
      </c>
      <c r="O482" t="inlineStr">
        <is>
          <t>1851062d5c7d451db15a0e9a17bccbfe</t>
        </is>
      </c>
    </row>
    <row r="483" ht="25.5" customHeight="1">
      <c r="A483" t="inlineStr">
        <is>
          <t>Product Showcase</t>
        </is>
      </c>
      <c r="B483">
        <v>38</v>
      </c>
      <c r="C483" t="inlineStr">
        <is>
          <t>@陈佳杰</t>
        </is>
      </c>
      <c r="D483">
        <v>1</v>
      </c>
      <c r="E483"/>
      <c r="F483" t="inlineStr">
        <is>
          <t>@杨春玉</t>
        </is>
      </c>
      <c r="G483">
        <v>1</v>
      </c>
      <c r="H483"/>
      <c r="I483">
        <v>4</v>
      </c>
      <c r="J483" t="inlineStr">
        <is>
          <t>Check if the rotation controls (next/previous) work correctly</t>
        </is>
      </c>
      <c r="K483" t="inlineStr">
        <is>
          <t>检查轮播切换控件（下一张/上一张）是否正常工作</t>
        </is>
      </c>
      <c r="L483" s="2" t="str">
        <f>=HYPERLINK("http://pre.mgx.dev/chat/1851062d5c7d451db15a0e9a17bccbfe", "http://pre.mgx.dev/chat/1851062d5c7d451db15a0e9a17bccbfe")</f>
        <v>http://pre.mgx.dev/chat/1851062d5c7d451db15a0e9a17bccbfe</v>
      </c>
      <c r="M483" s="2" t="str">
        <f>=HYPERLINK("", "https://45786-1851062d5c7d451db15a0e9a17bccbfe-3-latest.app.beta.mgx.dev")</f>
        <v>https://45786-1851062d5c7d451db15a0e9a17bccbfe-3-latest.app.beta.mgx.dev</v>
      </c>
      <c r="N483" s="2" t="str">
        <f>=HYPERLINK("mailto:eval_76@auto.com", "eval_76@auto.com")</f>
        <v>eval_76@auto.com</v>
      </c>
      <c r="O483" t="inlineStr">
        <is>
          <t>1851062d5c7d451db15a0e9a17bccbfe</t>
        </is>
      </c>
    </row>
    <row r="484" ht="25.5" customHeight="1">
      <c r="A484" t="inlineStr">
        <is>
          <t>Product Showcase</t>
        </is>
      </c>
      <c r="B484">
        <v>38</v>
      </c>
      <c r="C484" t="inlineStr">
        <is>
          <t>@陈佳杰</t>
        </is>
      </c>
      <c r="D484">
        <v>1</v>
      </c>
      <c r="E484"/>
      <c r="F484" t="inlineStr">
        <is>
          <t>@杨春玉</t>
        </is>
      </c>
      <c r="G484">
        <v>1</v>
      </c>
      <c r="H484"/>
      <c r="I484">
        <v>5</v>
      </c>
      <c r="J484" t="inlineStr">
        <is>
          <t>Check if the user can return to the grid view from the detail page</t>
        </is>
      </c>
      <c r="K484" t="inlineStr">
        <is>
          <t>检查用户可从详情页返回网格视图</t>
        </is>
      </c>
      <c r="L484" s="2" t="str">
        <f>=HYPERLINK("http://pre.mgx.dev/chat/1851062d5c7d451db15a0e9a17bccbfe", "http://pre.mgx.dev/chat/1851062d5c7d451db15a0e9a17bccbfe")</f>
        <v>http://pre.mgx.dev/chat/1851062d5c7d451db15a0e9a17bccbfe</v>
      </c>
      <c r="M484" s="2" t="str">
        <f>=HYPERLINK("", "https://45786-1851062d5c7d451db15a0e9a17bccbfe-3-latest.app.beta.mgx.dev")</f>
        <v>https://45786-1851062d5c7d451db15a0e9a17bccbfe-3-latest.app.beta.mgx.dev</v>
      </c>
      <c r="N484" s="2" t="str">
        <f>=HYPERLINK("mailto:eval_76@auto.com", "eval_76@auto.com")</f>
        <v>eval_76@auto.com</v>
      </c>
      <c r="O484" t="inlineStr">
        <is>
          <t>1851062d5c7d451db15a0e9a17bccbfe</t>
        </is>
      </c>
    </row>
    <row r="485" ht="25.5" customHeight="1">
      <c r="A485" t="inlineStr">
        <is>
          <t>Product Showcase</t>
        </is>
      </c>
      <c r="B485">
        <v>38</v>
      </c>
      <c r="C485" t="inlineStr">
        <is>
          <t>@陈佳杰</t>
        </is>
      </c>
      <c r="D485">
        <v>1</v>
      </c>
      <c r="E485"/>
      <c r="F485" t="inlineStr">
        <is>
          <t>@杨春玉</t>
        </is>
      </c>
      <c r="G485">
        <v>1</v>
      </c>
      <c r="H485"/>
      <c r="I485">
        <v>6</v>
      </c>
      <c r="J485" t="inlineStr">
        <is>
          <t>Confirm the presence of a specifications table on product detail pages</t>
        </is>
      </c>
      <c r="K485" t="inlineStr">
        <is>
          <t>确认商品详情页上存在规格参数表</t>
        </is>
      </c>
      <c r="L485" s="2" t="str">
        <f>=HYPERLINK("http://pre.mgx.dev/chat/1851062d5c7d451db15a0e9a17bccbfe", "http://pre.mgx.dev/chat/1851062d5c7d451db15a0e9a17bccbfe")</f>
        <v>http://pre.mgx.dev/chat/1851062d5c7d451db15a0e9a17bccbfe</v>
      </c>
      <c r="M485" s="2" t="str">
        <f>=HYPERLINK("", "https://45786-1851062d5c7d451db15a0e9a17bccbfe-3-latest.app.beta.mgx.dev")</f>
        <v>https://45786-1851062d5c7d451db15a0e9a17bccbfe-3-latest.app.beta.mgx.dev</v>
      </c>
      <c r="N485" s="2" t="str">
        <f>=HYPERLINK("mailto:eval_76@auto.com", "eval_76@auto.com")</f>
        <v>eval_76@auto.com</v>
      </c>
      <c r="O485" t="inlineStr">
        <is>
          <t>1851062d5c7d451db15a0e9a17bccbfe</t>
        </is>
      </c>
    </row>
    <row r="486" ht="25.5" customHeight="1">
      <c r="A486" t="inlineStr">
        <is>
          <t>Product Showcase</t>
        </is>
      </c>
      <c r="B486">
        <v>38</v>
      </c>
      <c r="C486" t="inlineStr">
        <is>
          <t>@陈佳杰</t>
        </is>
      </c>
      <c r="D486">
        <v>1</v>
      </c>
      <c r="E486"/>
      <c r="F486" t="inlineStr">
        <is>
          <t>@杨春玉</t>
        </is>
      </c>
      <c r="G486">
        <v>1</v>
      </c>
      <c r="H486"/>
      <c r="I486">
        <v>7</v>
      </c>
      <c r="J486" t="inlineStr">
        <is>
          <t>Ensure the user can clear or reset category filters</t>
        </is>
      </c>
      <c r="K486" t="inlineStr">
        <is>
          <t>确保用户可清除或重置分类筛选条件</t>
        </is>
      </c>
      <c r="L486" s="2" t="str">
        <f>=HYPERLINK("http://pre.mgx.dev/chat/1851062d5c7d451db15a0e9a17bccbfe", "http://pre.mgx.dev/chat/1851062d5c7d451db15a0e9a17bccbfe")</f>
        <v>http://pre.mgx.dev/chat/1851062d5c7d451db15a0e9a17bccbfe</v>
      </c>
      <c r="M486" s="2" t="str">
        <f>=HYPERLINK("", "https://45786-1851062d5c7d451db15a0e9a17bccbfe-3-latest.app.beta.mgx.dev")</f>
        <v>https://45786-1851062d5c7d451db15a0e9a17bccbfe-3-latest.app.beta.mgx.dev</v>
      </c>
      <c r="N486" s="2" t="str">
        <f>=HYPERLINK("mailto:eval_76@auto.com", "eval_76@auto.com")</f>
        <v>eval_76@auto.com</v>
      </c>
      <c r="O486" t="inlineStr">
        <is>
          <t>1851062d5c7d451db15a0e9a17bccbfe</t>
        </is>
      </c>
    </row>
    <row r="487" ht="25.5" customHeight="1">
      <c r="A487" t="inlineStr">
        <is>
          <t>Product Showcase</t>
        </is>
      </c>
      <c r="B487">
        <v>38</v>
      </c>
      <c r="C487" t="inlineStr">
        <is>
          <t>@陈佳杰</t>
        </is>
      </c>
      <c r="D487">
        <v>1</v>
      </c>
      <c r="E487"/>
      <c r="F487" t="inlineStr">
        <is>
          <t>@杨春玉</t>
        </is>
      </c>
      <c r="G487">
        <v>1</v>
      </c>
      <c r="H487"/>
      <c r="I487">
        <v>8</v>
      </c>
      <c r="J487" t="inlineStr">
        <is>
          <t>Test filtering products by each available category</t>
        </is>
      </c>
      <c r="K487" t="inlineStr">
        <is>
          <t>测试按每个可用分类筛选商品</t>
        </is>
      </c>
      <c r="L487" s="2" t="str">
        <f>=HYPERLINK("http://pre.mgx.dev/chat/1851062d5c7d451db15a0e9a17bccbfe", "http://pre.mgx.dev/chat/1851062d5c7d451db15a0e9a17bccbfe")</f>
        <v>http://pre.mgx.dev/chat/1851062d5c7d451db15a0e9a17bccbfe</v>
      </c>
      <c r="M487" s="2" t="str">
        <f>=HYPERLINK("", "https://45786-1851062d5c7d451db15a0e9a17bccbfe-3-latest.app.beta.mgx.dev")</f>
        <v>https://45786-1851062d5c7d451db15a0e9a17bccbfe-3-latest.app.beta.mgx.dev</v>
      </c>
      <c r="N487" s="2" t="str">
        <f>=HYPERLINK("mailto:eval_76@auto.com", "eval_76@auto.com")</f>
        <v>eval_76@auto.com</v>
      </c>
      <c r="O487" t="inlineStr">
        <is>
          <t>1851062d5c7d451db15a0e9a17bccbfe</t>
        </is>
      </c>
    </row>
    <row r="488" ht="25.5" customHeight="1">
      <c r="A488" t="inlineStr">
        <is>
          <t>Product Showcase</t>
        </is>
      </c>
      <c r="B488">
        <v>38</v>
      </c>
      <c r="C488" t="inlineStr">
        <is>
          <t>@陈佳杰</t>
        </is>
      </c>
      <c r="D488">
        <v>1</v>
      </c>
      <c r="E488"/>
      <c r="F488" t="inlineStr">
        <is>
          <t>@杨春玉</t>
        </is>
      </c>
      <c r="G488">
        <v>1</v>
      </c>
      <c r="H488"/>
      <c r="I488">
        <v>9</v>
      </c>
      <c r="J488" t="inlineStr">
        <is>
          <t>Test if all images in the rotation are visible</t>
        </is>
      </c>
      <c r="K488" t="inlineStr">
        <is>
          <t>测试轮播中的所有图片是否均可见</t>
        </is>
      </c>
      <c r="L488" s="2" t="str">
        <f>=HYPERLINK("http://pre.mgx.dev/chat/1851062d5c7d451db15a0e9a17bccbfe", "http://pre.mgx.dev/chat/1851062d5c7d451db15a0e9a17bccbfe")</f>
        <v>http://pre.mgx.dev/chat/1851062d5c7d451db15a0e9a17bccbfe</v>
      </c>
      <c r="M488" s="2" t="str">
        <f>=HYPERLINK("", "https://45786-1851062d5c7d451db15a0e9a17bccbfe-3-latest.app.beta.mgx.dev")</f>
        <v>https://45786-1851062d5c7d451db15a0e9a17bccbfe-3-latest.app.beta.mgx.dev</v>
      </c>
      <c r="N488" s="2" t="str">
        <f>=HYPERLINK("mailto:eval_76@auto.com", "eval_76@auto.com")</f>
        <v>eval_76@auto.com</v>
      </c>
      <c r="O488" t="inlineStr">
        <is>
          <t>1851062d5c7d451db15a0e9a17bccbfe</t>
        </is>
      </c>
    </row>
    <row r="489" ht="25.5" customHeight="1">
      <c r="A489" t="inlineStr">
        <is>
          <t>Product Showcase</t>
        </is>
      </c>
      <c r="B489">
        <v>38</v>
      </c>
      <c r="C489" t="inlineStr">
        <is>
          <t>@陈佳杰</t>
        </is>
      </c>
      <c r="D489">
        <v>1</v>
      </c>
      <c r="E489"/>
      <c r="F489" t="inlineStr">
        <is>
          <t>@杨春玉</t>
        </is>
      </c>
      <c r="G489">
        <v>1</v>
      </c>
      <c r="H489"/>
      <c r="I489">
        <v>10</v>
      </c>
      <c r="J489" t="inlineStr">
        <is>
          <t>Test navigation from grid to individual product detail pages</t>
        </is>
      </c>
      <c r="K489" t="inlineStr">
        <is>
          <t>测试从网格视图跳转到单个商品详情页</t>
        </is>
      </c>
      <c r="L489" s="2" t="str">
        <f>=HYPERLINK("http://pre.mgx.dev/chat/1851062d5c7d451db15a0e9a17bccbfe", "http://pre.mgx.dev/chat/1851062d5c7d451db15a0e9a17bccbfe")</f>
        <v>http://pre.mgx.dev/chat/1851062d5c7d451db15a0e9a17bccbfe</v>
      </c>
      <c r="M489" s="2" t="str">
        <f>=HYPERLINK("", "https://45786-1851062d5c7d451db15a0e9a17bccbfe-3-latest.app.beta.mgx.dev")</f>
        <v>https://45786-1851062d5c7d451db15a0e9a17bccbfe-3-latest.app.beta.mgx.dev</v>
      </c>
      <c r="N489" s="2" t="str">
        <f>=HYPERLINK("mailto:eval_76@auto.com", "eval_76@auto.com")</f>
        <v>eval_76@auto.com</v>
      </c>
      <c r="O489" t="inlineStr">
        <is>
          <t>1851062d5c7d451db15a0e9a17bccbfe</t>
        </is>
      </c>
    </row>
    <row r="490" ht="25.5" customHeight="1">
      <c r="A490" t="inlineStr">
        <is>
          <t>Product Showcase</t>
        </is>
      </c>
      <c r="B490">
        <v>38</v>
      </c>
      <c r="C490" t="inlineStr">
        <is>
          <t>@陈佳杰</t>
        </is>
      </c>
      <c r="D490">
        <v>1</v>
      </c>
      <c r="E490"/>
      <c r="F490" t="inlineStr">
        <is>
          <t>@杨春玉</t>
        </is>
      </c>
      <c r="G490">
        <v>1</v>
      </c>
      <c r="H490"/>
      <c r="I490">
        <v>11</v>
      </c>
      <c r="J490" t="inlineStr">
        <is>
          <t>Test searching for existing products by name</t>
        </is>
      </c>
      <c r="K490" t="inlineStr">
        <is>
          <t>测试按名称搜索现有商品</t>
        </is>
      </c>
      <c r="L490" s="2" t="str">
        <f>=HYPERLINK("http://pre.mgx.dev/chat/1851062d5c7d451db15a0e9a17bccbfe", "http://pre.mgx.dev/chat/1851062d5c7d451db15a0e9a17bccbfe")</f>
        <v>http://pre.mgx.dev/chat/1851062d5c7d451db15a0e9a17bccbfe</v>
      </c>
      <c r="M490" s="2" t="str">
        <f>=HYPERLINK("", "https://45786-1851062d5c7d451db15a0e9a17bccbfe-3-latest.app.beta.mgx.dev")</f>
        <v>https://45786-1851062d5c7d451db15a0e9a17bccbfe-3-latest.app.beta.mgx.dev</v>
      </c>
      <c r="N490" s="2" t="str">
        <f>=HYPERLINK("mailto:eval_76@auto.com", "eval_76@auto.com")</f>
        <v>eval_76@auto.com</v>
      </c>
      <c r="O490" t="inlineStr">
        <is>
          <t>1851062d5c7d451db15a0e9a17bccbfe</t>
        </is>
      </c>
    </row>
    <row r="491" ht="25.5" customHeight="1">
      <c r="A491" t="inlineStr">
        <is>
          <t>Product Showcase</t>
        </is>
      </c>
      <c r="B491">
        <v>38</v>
      </c>
      <c r="C491" t="inlineStr">
        <is>
          <t>@陈佳杰</t>
        </is>
      </c>
      <c r="D491">
        <v>1</v>
      </c>
      <c r="E491"/>
      <c r="F491" t="inlineStr">
        <is>
          <t>@杨春玉</t>
        </is>
      </c>
      <c r="G491">
        <v>1</v>
      </c>
      <c r="H491"/>
      <c r="I491">
        <v>12</v>
      </c>
      <c r="J491" t="inlineStr">
        <is>
          <t>Verify all product information is displayed correctly on the detail page</t>
        </is>
      </c>
      <c r="K491" t="inlineStr">
        <is>
          <t>验证商品详情页上所有商品信息展示正确</t>
        </is>
      </c>
      <c r="L491" s="2" t="str">
        <f>=HYPERLINK("http://pre.mgx.dev/chat/1851062d5c7d451db15a0e9a17bccbfe", "http://pre.mgx.dev/chat/1851062d5c7d451db15a0e9a17bccbfe")</f>
        <v>http://pre.mgx.dev/chat/1851062d5c7d451db15a0e9a17bccbfe</v>
      </c>
      <c r="M491" s="2" t="str">
        <f>=HYPERLINK("", "https://45786-1851062d5c7d451db15a0e9a17bccbfe-3-latest.app.beta.mgx.dev")</f>
        <v>https://45786-1851062d5c7d451db15a0e9a17bccbfe-3-latest.app.beta.mgx.dev</v>
      </c>
      <c r="N491" s="2" t="str">
        <f>=HYPERLINK("mailto:eval_76@auto.com", "eval_76@auto.com")</f>
        <v>eval_76@auto.com</v>
      </c>
      <c r="O491" t="inlineStr">
        <is>
          <t>1851062d5c7d451db15a0e9a17bccbfe</t>
        </is>
      </c>
    </row>
    <row r="492" ht="25.5" customHeight="1">
      <c r="A492" t="inlineStr">
        <is>
          <t>Product Showcase</t>
        </is>
      </c>
      <c r="B492">
        <v>38</v>
      </c>
      <c r="C492" t="inlineStr">
        <is>
          <t>@陈佳杰</t>
        </is>
      </c>
      <c r="D492">
        <v>1</v>
      </c>
      <c r="E492"/>
      <c r="F492" t="inlineStr">
        <is>
          <t>@杨春玉</t>
        </is>
      </c>
      <c r="G492">
        <v>1</v>
      </c>
      <c r="H492"/>
      <c r="I492">
        <v>13</v>
      </c>
      <c r="J492" t="inlineStr">
        <is>
          <t>Verify all specification parameters are correctly displayed</t>
        </is>
      </c>
      <c r="K492" t="inlineStr">
        <is>
          <t>验证所有规格参数展示正确</t>
        </is>
      </c>
      <c r="L492" s="2" t="str">
        <f>=HYPERLINK("http://pre.mgx.dev/chat/1851062d5c7d451db15a0e9a17bccbfe", "http://pre.mgx.dev/chat/1851062d5c7d451db15a0e9a17bccbfe")</f>
        <v>http://pre.mgx.dev/chat/1851062d5c7d451db15a0e9a17bccbfe</v>
      </c>
      <c r="M492" s="2" t="str">
        <f>=HYPERLINK("", "https://45786-1851062d5c7d451db15a0e9a17bccbfe-3-latest.app.beta.mgx.dev")</f>
        <v>https://45786-1851062d5c7d451db15a0e9a17bccbfe-3-latest.app.beta.mgx.dev</v>
      </c>
      <c r="N492" s="2" t="str">
        <f>=HYPERLINK("mailto:eval_76@auto.com", "eval_76@auto.com")</f>
        <v>eval_76@auto.com</v>
      </c>
      <c r="O492" t="inlineStr">
        <is>
          <t>1851062d5c7d451db15a0e9a17bccbfe</t>
        </is>
      </c>
    </row>
    <row r="493" ht="25.5" customHeight="1">
      <c r="A493" t="inlineStr">
        <is>
          <t>Product Showcase</t>
        </is>
      </c>
      <c r="B493">
        <v>38</v>
      </c>
      <c r="C493" t="inlineStr">
        <is>
          <t>@陈佳杰</t>
        </is>
      </c>
      <c r="D493">
        <v>1</v>
      </c>
      <c r="E493"/>
      <c r="F493" t="inlineStr">
        <is>
          <t>@杨春玉</t>
        </is>
      </c>
      <c r="G493">
        <v>1</v>
      </c>
      <c r="H493"/>
      <c r="I493">
        <v>14</v>
      </c>
      <c r="J493" t="inlineStr">
        <is>
          <t>Verify the presence of a product search feature</t>
        </is>
      </c>
      <c r="K493" t="inlineStr">
        <is>
          <t>验证存在商品搜索功能</t>
        </is>
      </c>
      <c r="L493" s="2" t="str">
        <f>=HYPERLINK("http://pre.mgx.dev/chat/1851062d5c7d451db15a0e9a17bccbfe", "http://pre.mgx.dev/chat/1851062d5c7d451db15a0e9a17bccbfe")</f>
        <v>http://pre.mgx.dev/chat/1851062d5c7d451db15a0e9a17bccbfe</v>
      </c>
      <c r="M493" s="2" t="str">
        <f>=HYPERLINK("", "https://45786-1851062d5c7d451db15a0e9a17bccbfe-3-latest.app.beta.mgx.dev")</f>
        <v>https://45786-1851062d5c7d451db15a0e9a17bccbfe-3-latest.app.beta.mgx.dev</v>
      </c>
      <c r="N493" s="2" t="str">
        <f>=HYPERLINK("mailto:eval_76@auto.com", "eval_76@auto.com")</f>
        <v>eval_76@auto.com</v>
      </c>
      <c r="O493" t="inlineStr">
        <is>
          <t>1851062d5c7d451db15a0e9a17bccbfe</t>
        </is>
      </c>
    </row>
    <row r="494" ht="25.5" customHeight="1">
      <c r="A494" t="inlineStr">
        <is>
          <t>Product Showcase</t>
        </is>
      </c>
      <c r="B494">
        <v>38</v>
      </c>
      <c r="C494" t="inlineStr">
        <is>
          <t>@陈佳杰</t>
        </is>
      </c>
      <c r="D494">
        <v>0</v>
      </c>
      <c r="E494"/>
      <c r="F494" t="inlineStr">
        <is>
          <t>@杨春玉</t>
        </is>
      </c>
      <c r="G494">
        <v>0</v>
      </c>
      <c r="H494" t="inlineStr">
        <is>
          <t>显示5张图片</t>
        </is>
      </c>
      <c r="I494">
        <v>15</v>
      </c>
      <c r="J494" t="inlineStr">
        <is>
          <t>Verify the product grid layout displays all 10 product images</t>
        </is>
      </c>
      <c r="K494" t="inlineStr">
        <is>
          <t>验证商品网格布局展示全部10张商品图片</t>
        </is>
      </c>
      <c r="L494" s="2" t="str">
        <f>=HYPERLINK("http://pre.mgx.dev/chat/1851062d5c7d451db15a0e9a17bccbfe", "http://pre.mgx.dev/chat/1851062d5c7d451db15a0e9a17bccbfe")</f>
        <v>http://pre.mgx.dev/chat/1851062d5c7d451db15a0e9a17bccbfe</v>
      </c>
      <c r="M494" s="2" t="str">
        <f>=HYPERLINK("", "https://45786-1851062d5c7d451db15a0e9a17bccbfe-3-latest.app.beta.mgx.dev")</f>
        <v>https://45786-1851062d5c7d451db15a0e9a17bccbfe-3-latest.app.beta.mgx.dev</v>
      </c>
      <c r="N494" s="2" t="str">
        <f>=HYPERLINK("mailto:eval_76@auto.com", "eval_76@auto.com")</f>
        <v>eval_76@auto.com</v>
      </c>
      <c r="O494" t="inlineStr">
        <is>
          <t>1851062d5c7d451db15a0e9a17bccbfe</t>
        </is>
      </c>
    </row>
    <row r="495" ht="25.5" customHeight="1">
      <c r="A495" t="inlineStr">
        <is>
          <t>Product Showcase</t>
        </is>
      </c>
      <c r="B495">
        <v>38</v>
      </c>
      <c r="C495" t="inlineStr">
        <is>
          <t>@陈佳杰</t>
        </is>
      </c>
      <c r="D495">
        <v>1</v>
      </c>
      <c r="E495"/>
      <c r="F495" t="inlineStr">
        <is>
          <t>@杨春玉</t>
        </is>
      </c>
      <c r="G495">
        <v>1</v>
      </c>
      <c r="H495"/>
      <c r="I495">
        <v>16</v>
      </c>
      <c r="J495" t="inlineStr">
        <is>
          <t>Verify the product grid updates correctly when a category is selected</t>
        </is>
      </c>
      <c r="K495" t="inlineStr">
        <is>
          <t>验证选择分类后商品网格正确更新</t>
        </is>
      </c>
      <c r="L495" s="2" t="str">
        <f>=HYPERLINK("http://pre.mgx.dev/chat/1851062d5c7d451db15a0e9a17bccbfe", "http://pre.mgx.dev/chat/1851062d5c7d451db15a0e9a17bccbfe")</f>
        <v>http://pre.mgx.dev/chat/1851062d5c7d451db15a0e9a17bccbfe</v>
      </c>
      <c r="M495" s="2" t="str">
        <f>=HYPERLINK("", "https://45786-1851062d5c7d451db15a0e9a17bccbfe-3-latest.app.beta.mgx.dev")</f>
        <v>https://45786-1851062d5c7d451db15a0e9a17bccbfe-3-latest.app.beta.mgx.dev</v>
      </c>
      <c r="N495" s="2" t="str">
        <f>=HYPERLINK("mailto:eval_76@auto.com", "eval_76@auto.com")</f>
        <v>eval_76@auto.com</v>
      </c>
      <c r="O495" t="inlineStr">
        <is>
          <t>1851062d5c7d451db15a0e9a17bccbfe</t>
        </is>
      </c>
    </row>
    <row r="496" ht="25.5" customHeight="1">
      <c r="A496" t="inlineStr">
        <is>
          <t>Product Showcase</t>
        </is>
      </c>
      <c r="B496">
        <v>38</v>
      </c>
      <c r="C496" t="inlineStr">
        <is>
          <t>@陈佳杰</t>
        </is>
      </c>
      <c r="D496">
        <v>1</v>
      </c>
      <c r="E496"/>
      <c r="F496" t="inlineStr">
        <is>
          <t>@杨春玉</t>
        </is>
      </c>
      <c r="G496">
        <v>1</v>
      </c>
      <c r="H496"/>
      <c r="I496">
        <v>17</v>
      </c>
      <c r="J496" t="inlineStr">
        <is>
          <t>Verify the search function works with partial product names</t>
        </is>
      </c>
      <c r="K496" t="inlineStr">
        <is>
          <t>验证搜索功能支持商品名称模糊搜索</t>
        </is>
      </c>
      <c r="L496" s="2" t="str">
        <f>=HYPERLINK("http://pre.mgx.dev/chat/1851062d5c7d451db15a0e9a17bccbfe", "http://pre.mgx.dev/chat/1851062d5c7d451db15a0e9a17bccbfe")</f>
        <v>http://pre.mgx.dev/chat/1851062d5c7d451db15a0e9a17bccbfe</v>
      </c>
      <c r="M496" s="2" t="str">
        <f>=HYPERLINK("", "https://45786-1851062d5c7d451db15a0e9a17bccbfe-3-latest.app.beta.mgx.dev")</f>
        <v>https://45786-1851062d5c7d451db15a0e9a17bccbfe-3-latest.app.beta.mgx.dev</v>
      </c>
      <c r="N496" s="2" t="str">
        <f>=HYPERLINK("mailto:eval_76@auto.com", "eval_76@auto.com")</f>
        <v>eval_76@auto.com</v>
      </c>
      <c r="O496" t="inlineStr">
        <is>
          <t>1851062d5c7d451db15a0e9a17bccbfe</t>
        </is>
      </c>
    </row>
    <row r="497" ht="25.5" customHeight="1">
      <c r="A497" t="inlineStr">
        <is>
          <t>Professional Portfolio</t>
        </is>
      </c>
      <c r="B497">
        <v>39</v>
      </c>
      <c r="C497" t="inlineStr">
        <is>
          <t>@陈佳杰</t>
        </is>
      </c>
      <c r="D497">
        <v>1</v>
      </c>
      <c r="E497"/>
      <c r="F497" t="inlineStr">
        <is>
          <t>@杨春玉</t>
        </is>
      </c>
      <c r="G497">
        <v>1</v>
      </c>
      <c r="H497"/>
      <c r="I497">
        <v>1</v>
      </c>
      <c r="J497" t="inlineStr">
        <is>
          <t>Check if project experience is displayed in a card list format</t>
        </is>
      </c>
      <c r="K497" t="inlineStr">
        <is>
          <t>检查项目经历是否以卡片列表形式展示</t>
        </is>
      </c>
      <c r="L497" s="2" t="str">
        <f>=HYPERLINK("http://pre.mgx.dev/chat/3aff75dd5eff4f63a7f7f97bedfcb99d", "http://pre.mgx.dev/chat/3aff75dd5eff4f63a7f7f97bedfcb99d")</f>
        <v>http://pre.mgx.dev/chat/3aff75dd5eff4f63a7f7f97bedfcb99d</v>
      </c>
      <c r="M497" s="2" t="str">
        <f>=HYPERLINK("", "https://45790-3aff75dd5eff4f63a7f7f97bedfcb99d-3-latest.app.beta.mgx.dev")</f>
        <v>https://45790-3aff75dd5eff4f63a7f7f97bedfcb99d-3-latest.app.beta.mgx.dev</v>
      </c>
      <c r="N497" s="2" t="str">
        <f>=HYPERLINK("mailto:eval_80@auto.com", "eval_80@auto.com")</f>
        <v>eval_80@auto.com</v>
      </c>
      <c r="O497" t="inlineStr">
        <is>
          <t>3aff75dd5eff4f63a7f7f97bedfcb99d</t>
        </is>
      </c>
    </row>
    <row r="498" ht="25.5" customHeight="1">
      <c r="A498" t="inlineStr">
        <is>
          <t>Professional Portfolio</t>
        </is>
      </c>
      <c r="B498">
        <v>39</v>
      </c>
      <c r="C498" t="inlineStr">
        <is>
          <t>@陈佳杰</t>
        </is>
      </c>
      <c r="D498">
        <v>1</v>
      </c>
      <c r="E498"/>
      <c r="F498" t="inlineStr">
        <is>
          <t>@杨春玉</t>
        </is>
      </c>
      <c r="G498">
        <v>1</v>
      </c>
      <c r="H498"/>
      <c r="I498">
        <v>2</v>
      </c>
      <c r="J498" t="inlineStr">
        <is>
          <t>Check if the navigation bar contains links to Home, Projects, Skills, and Contact pages</t>
        </is>
      </c>
      <c r="K498" t="inlineStr">
        <is>
          <t>检查导航栏是否包含首页、项目、技能、联系页面的链接</t>
        </is>
      </c>
      <c r="L498" s="2" t="str">
        <f>=HYPERLINK("http://pre.mgx.dev/chat/3aff75dd5eff4f63a7f7f97bedfcb99d", "http://pre.mgx.dev/chat/3aff75dd5eff4f63a7f7f97bedfcb99d")</f>
        <v>http://pre.mgx.dev/chat/3aff75dd5eff4f63a7f7f97bedfcb99d</v>
      </c>
      <c r="M498" s="2" t="str">
        <f>=HYPERLINK("", "https://45790-3aff75dd5eff4f63a7f7f97bedfcb99d-3-latest.app.beta.mgx.dev")</f>
        <v>https://45790-3aff75dd5eff4f63a7f7f97bedfcb99d-3-latest.app.beta.mgx.dev</v>
      </c>
      <c r="N498" s="2" t="str">
        <f>=HYPERLINK("mailto:eval_80@auto.com", "eval_80@auto.com")</f>
        <v>eval_80@auto.com</v>
      </c>
      <c r="O498" t="inlineStr">
        <is>
          <t>3aff75dd5eff4f63a7f7f97bedfcb99d</t>
        </is>
      </c>
    </row>
    <row r="499" ht="25.5" customHeight="1">
      <c r="A499" t="inlineStr">
        <is>
          <t>Professional Portfolio</t>
        </is>
      </c>
      <c r="B499">
        <v>39</v>
      </c>
      <c r="C499" t="inlineStr">
        <is>
          <t>@陈佳杰</t>
        </is>
      </c>
      <c r="D499">
        <v>1</v>
      </c>
      <c r="E499"/>
      <c r="F499" t="inlineStr">
        <is>
          <t>@杨春玉</t>
        </is>
      </c>
      <c r="G499">
        <v>1</v>
      </c>
      <c r="H499"/>
      <c r="I499">
        <v>3</v>
      </c>
      <c r="J499" t="inlineStr">
        <is>
          <t>Confirm that the PDF resume download button is present and visible</t>
        </is>
      </c>
      <c r="K499" t="inlineStr">
        <is>
          <t>确认PDF简历下载按钮存在且可见</t>
        </is>
      </c>
      <c r="L499" s="2" t="str">
        <f>=HYPERLINK("http://pre.mgx.dev/chat/3aff75dd5eff4f63a7f7f97bedfcb99d", "http://pre.mgx.dev/chat/3aff75dd5eff4f63a7f7f97bedfcb99d")</f>
        <v>http://pre.mgx.dev/chat/3aff75dd5eff4f63a7f7f97bedfcb99d</v>
      </c>
      <c r="M499" s="2" t="str">
        <f>=HYPERLINK("", "https://45790-3aff75dd5eff4f63a7f7f97bedfcb99d-3-latest.app.beta.mgx.dev")</f>
        <v>https://45790-3aff75dd5eff4f63a7f7f97bedfcb99d-3-latest.app.beta.mgx.dev</v>
      </c>
      <c r="N499" s="2" t="str">
        <f>=HYPERLINK("mailto:eval_80@auto.com", "eval_80@auto.com")</f>
        <v>eval_80@auto.com</v>
      </c>
      <c r="O499" t="inlineStr">
        <is>
          <t>3aff75dd5eff4f63a7f7f97bedfcb99d</t>
        </is>
      </c>
    </row>
    <row r="500" ht="25.5" customHeight="1">
      <c r="A500" t="inlineStr">
        <is>
          <t>Professional Portfolio</t>
        </is>
      </c>
      <c r="B500">
        <v>39</v>
      </c>
      <c r="C500" t="inlineStr">
        <is>
          <t>@陈佳杰</t>
        </is>
      </c>
      <c r="D500">
        <v>1</v>
      </c>
      <c r="E500"/>
      <c r="F500" t="inlineStr">
        <is>
          <t>@杨春玉</t>
        </is>
      </c>
      <c r="G500">
        <v>1</v>
      </c>
      <c r="H500"/>
      <c r="I500">
        <v>4</v>
      </c>
      <c r="J500" t="inlineStr">
        <is>
          <t>Confirm that the skill tag cloud is visible on the website</t>
        </is>
      </c>
      <c r="K500" t="inlineStr">
        <is>
          <t>确认网站上展示技能标签云</t>
        </is>
      </c>
      <c r="L500" s="2" t="str">
        <f>=HYPERLINK("http://pre.mgx.dev/chat/3aff75dd5eff4f63a7f7f97bedfcb99d", "http://pre.mgx.dev/chat/3aff75dd5eff4f63a7f7f97bedfcb99d")</f>
        <v>http://pre.mgx.dev/chat/3aff75dd5eff4f63a7f7f97bedfcb99d</v>
      </c>
      <c r="M500" s="2" t="str">
        <f>=HYPERLINK("", "https://45790-3aff75dd5eff4f63a7f7f97bedfcb99d-3-latest.app.beta.mgx.dev")</f>
        <v>https://45790-3aff75dd5eff4f63a7f7f97bedfcb99d-3-latest.app.beta.mgx.dev</v>
      </c>
      <c r="N500" s="2" t="str">
        <f>=HYPERLINK("mailto:eval_80@auto.com", "eval_80@auto.com")</f>
        <v>eval_80@auto.com</v>
      </c>
      <c r="O500" t="inlineStr">
        <is>
          <t>3aff75dd5eff4f63a7f7f97bedfcb99d</t>
        </is>
      </c>
    </row>
    <row r="501" ht="25.5" customHeight="1">
      <c r="A501" t="inlineStr">
        <is>
          <t>Professional Portfolio</t>
        </is>
      </c>
      <c r="B501">
        <v>39</v>
      </c>
      <c r="C501" t="inlineStr">
        <is>
          <t>@陈佳杰</t>
        </is>
      </c>
      <c r="D501">
        <v>1</v>
      </c>
      <c r="E501"/>
      <c r="F501" t="inlineStr">
        <is>
          <t>@杨春玉</t>
        </is>
      </c>
      <c r="G501">
        <v>1</v>
      </c>
      <c r="H501"/>
      <c r="I501">
        <v>5</v>
      </c>
      <c r="J501" t="inlineStr">
        <is>
          <t>Test each social media link to ensure it opens the correct profile in a new tab</t>
        </is>
      </c>
      <c r="K501" t="inlineStr">
        <is>
          <t>测试每个社交媒体链接，确保在新标签页打开对应个人主页</t>
        </is>
      </c>
      <c r="L501" s="2" t="str">
        <f>=HYPERLINK("http://pre.mgx.dev/chat/3aff75dd5eff4f63a7f7f97bedfcb99d", "http://pre.mgx.dev/chat/3aff75dd5eff4f63a7f7f97bedfcb99d")</f>
        <v>http://pre.mgx.dev/chat/3aff75dd5eff4f63a7f7f97bedfcb99d</v>
      </c>
      <c r="M501" s="2" t="str">
        <f>=HYPERLINK("", "https://45790-3aff75dd5eff4f63a7f7f97bedfcb99d-3-latest.app.beta.mgx.dev")</f>
        <v>https://45790-3aff75dd5eff4f63a7f7f97bedfcb99d-3-latest.app.beta.mgx.dev</v>
      </c>
      <c r="N501" s="2" t="str">
        <f>=HYPERLINK("mailto:eval_80@auto.com", "eval_80@auto.com")</f>
        <v>eval_80@auto.com</v>
      </c>
      <c r="O501" t="inlineStr">
        <is>
          <t>3aff75dd5eff4f63a7f7f97bedfcb99d</t>
        </is>
      </c>
    </row>
    <row r="502" ht="25.5" customHeight="1">
      <c r="A502" t="inlineStr">
        <is>
          <t>Professional Portfolio</t>
        </is>
      </c>
      <c r="B502">
        <v>39</v>
      </c>
      <c r="C502" t="inlineStr">
        <is>
          <t>@陈佳杰</t>
        </is>
      </c>
      <c r="D502">
        <v>1</v>
      </c>
      <c r="E502"/>
      <c r="F502" t="inlineStr">
        <is>
          <t>@杨春玉</t>
        </is>
      </c>
      <c r="G502">
        <v>1</v>
      </c>
      <c r="H502"/>
      <c r="I502">
        <v>6</v>
      </c>
      <c r="J502" t="inlineStr">
        <is>
          <t>Test navigation functionality by clicking on each link in the navigation bar</t>
        </is>
      </c>
      <c r="K502" t="inlineStr">
        <is>
          <t>测试点击导航栏中的每个链接，验证导航功能</t>
        </is>
      </c>
      <c r="L502" s="2" t="str">
        <f>=HYPERLINK("http://pre.mgx.dev/chat/3aff75dd5eff4f63a7f7f97bedfcb99d", "http://pre.mgx.dev/chat/3aff75dd5eff4f63a7f7f97bedfcb99d")</f>
        <v>http://pre.mgx.dev/chat/3aff75dd5eff4f63a7f7f97bedfcb99d</v>
      </c>
      <c r="M502" s="2" t="str">
        <f>=HYPERLINK("", "https://45790-3aff75dd5eff4f63a7f7f97bedfcb99d-3-latest.app.beta.mgx.dev")</f>
        <v>https://45790-3aff75dd5eff4f63a7f7f97bedfcb99d-3-latest.app.beta.mgx.dev</v>
      </c>
      <c r="N502" s="2" t="str">
        <f>=HYPERLINK("mailto:eval_80@auto.com", "eval_80@auto.com")</f>
        <v>eval_80@auto.com</v>
      </c>
      <c r="O502" t="inlineStr">
        <is>
          <t>3aff75dd5eff4f63a7f7f97bedfcb99d</t>
        </is>
      </c>
    </row>
    <row r="503" ht="25.5" customHeight="1">
      <c r="A503" t="inlineStr">
        <is>
          <t>Professional Portfolio</t>
        </is>
      </c>
      <c r="B503">
        <v>39</v>
      </c>
      <c r="C503" t="inlineStr">
        <is>
          <t>@陈佳杰</t>
        </is>
      </c>
      <c r="D503">
        <v>1</v>
      </c>
      <c r="E503"/>
      <c r="F503" t="inlineStr">
        <is>
          <t>@杨春玉</t>
        </is>
      </c>
      <c r="G503">
        <v>0</v>
      </c>
      <c r="H503" t="inlineStr">
        <is>
          <t>未直接下载文件</t>
        </is>
      </c>
      <c r="I503">
        <v>7</v>
      </c>
      <c r="J503" t="inlineStr">
        <is>
          <t>Test the download functionality by clicking the resume download button</t>
        </is>
      </c>
      <c r="K503" t="inlineStr">
        <is>
          <t>测试点击简历下载按钮，验证下载功能</t>
        </is>
      </c>
      <c r="L503" s="2" t="str">
        <f>=HYPERLINK("http://pre.mgx.dev/chat/3aff75dd5eff4f63a7f7f97bedfcb99d", "http://pre.mgx.dev/chat/3aff75dd5eff4f63a7f7f97bedfcb99d")</f>
        <v>http://pre.mgx.dev/chat/3aff75dd5eff4f63a7f7f97bedfcb99d</v>
      </c>
      <c r="M503" s="2" t="str">
        <f>=HYPERLINK("", "https://45790-3aff75dd5eff4f63a7f7f97bedfcb99d-3-latest.app.beta.mgx.dev")</f>
        <v>https://45790-3aff75dd5eff4f63a7f7f97bedfcb99d-3-latest.app.beta.mgx.dev</v>
      </c>
      <c r="N503" s="2" t="str">
        <f>=HYPERLINK("mailto:eval_80@auto.com", "eval_80@auto.com")</f>
        <v>eval_80@auto.com</v>
      </c>
      <c r="O503" t="inlineStr">
        <is>
          <t>3aff75dd5eff4f63a7f7f97bedfcb99d</t>
        </is>
      </c>
    </row>
    <row r="504" ht="25.5" customHeight="1">
      <c r="A504" t="inlineStr">
        <is>
          <t>Professional Portfolio</t>
        </is>
      </c>
      <c r="B504">
        <v>39</v>
      </c>
      <c r="C504" t="inlineStr">
        <is>
          <t>@陈佳杰</t>
        </is>
      </c>
      <c r="D504">
        <v>1</v>
      </c>
      <c r="E504"/>
      <c r="F504" t="inlineStr">
        <is>
          <t>@杨春玉</t>
        </is>
      </c>
      <c r="G504">
        <v>1</v>
      </c>
      <c r="H504"/>
      <c r="I504">
        <v>8</v>
      </c>
      <c r="J504" t="inlineStr">
        <is>
          <t>Verify that social media links are present and visible on the website</t>
        </is>
      </c>
      <c r="K504" t="inlineStr">
        <is>
          <t>验证网站上存在且可见社交媒体链接</t>
        </is>
      </c>
      <c r="L504" s="2" t="str">
        <f>=HYPERLINK("http://pre.mgx.dev/chat/3aff75dd5eff4f63a7f7f97bedfcb99d", "http://pre.mgx.dev/chat/3aff75dd5eff4f63a7f7f97bedfcb99d")</f>
        <v>http://pre.mgx.dev/chat/3aff75dd5eff4f63a7f7f97bedfcb99d</v>
      </c>
      <c r="M504" s="2" t="str">
        <f>=HYPERLINK("", "https://45790-3aff75dd5eff4f63a7f7f97bedfcb99d-3-latest.app.beta.mgx.dev")</f>
        <v>https://45790-3aff75dd5eff4f63a7f7f97bedfcb99d-3-latest.app.beta.mgx.dev</v>
      </c>
      <c r="N504" s="2" t="str">
        <f>=HYPERLINK("mailto:eval_80@auto.com", "eval_80@auto.com")</f>
        <v>eval_80@auto.com</v>
      </c>
      <c r="O504" t="inlineStr">
        <is>
          <t>3aff75dd5eff4f63a7f7f97bedfcb99d</t>
        </is>
      </c>
    </row>
    <row r="505" ht="25.5" customHeight="1">
      <c r="A505" t="inlineStr">
        <is>
          <t>Professional Portfolio</t>
        </is>
      </c>
      <c r="B505">
        <v>39</v>
      </c>
      <c r="C505" t="inlineStr">
        <is>
          <t>@陈佳杰</t>
        </is>
      </c>
      <c r="D505">
        <v>1</v>
      </c>
      <c r="E505"/>
      <c r="F505" t="inlineStr">
        <is>
          <t>@杨春玉</t>
        </is>
      </c>
      <c r="G505">
        <v>1</v>
      </c>
      <c r="H505"/>
      <c r="I505">
        <v>9</v>
      </c>
      <c r="J505" t="inlineStr">
        <is>
          <t>Verify that the navigation bar is fixed and visible on all pages</t>
        </is>
      </c>
      <c r="K505" t="inlineStr">
        <is>
          <t>验证导航栏固定且在所有页面可见</t>
        </is>
      </c>
      <c r="L505" s="2" t="str">
        <f>=HYPERLINK("http://pre.mgx.dev/chat/3aff75dd5eff4f63a7f7f97bedfcb99d", "http://pre.mgx.dev/chat/3aff75dd5eff4f63a7f7f97bedfcb99d")</f>
        <v>http://pre.mgx.dev/chat/3aff75dd5eff4f63a7f7f97bedfcb99d</v>
      </c>
      <c r="M505" s="2" t="str">
        <f>=HYPERLINK("", "https://45790-3aff75dd5eff4f63a7f7f97bedfcb99d-3-latest.app.beta.mgx.dev")</f>
        <v>https://45790-3aff75dd5eff4f63a7f7f97bedfcb99d-3-latest.app.beta.mgx.dev</v>
      </c>
      <c r="N505" s="2" t="str">
        <f>=HYPERLINK("mailto:eval_80@auto.com", "eval_80@auto.com")</f>
        <v>eval_80@auto.com</v>
      </c>
      <c r="O505" t="inlineStr">
        <is>
          <t>3aff75dd5eff4f63a7f7f97bedfcb99d</t>
        </is>
      </c>
    </row>
    <row r="506" ht="25.5" customHeight="1">
      <c r="A506" t="inlineStr">
        <is>
          <t>Professional Portfolio</t>
        </is>
      </c>
      <c r="B506">
        <v>39</v>
      </c>
      <c r="C506" t="inlineStr">
        <is>
          <t>@陈佳杰</t>
        </is>
      </c>
      <c r="D506">
        <v>1</v>
      </c>
      <c r="E506"/>
      <c r="F506" t="inlineStr">
        <is>
          <t>@杨春玉</t>
        </is>
      </c>
      <c r="G506">
        <v>1</v>
      </c>
      <c r="H506"/>
      <c r="I506">
        <v>10</v>
      </c>
      <c r="J506" t="inlineStr">
        <is>
          <t>Verify that the personal introduction section is present and contains relevant information</t>
        </is>
      </c>
      <c r="K506" t="inlineStr">
        <is>
          <t>验证个人介绍板块存在且包含相关信息</t>
        </is>
      </c>
      <c r="L506" s="2" t="str">
        <f>=HYPERLINK("http://pre.mgx.dev/chat/3aff75dd5eff4f63a7f7f97bedfcb99d", "http://pre.mgx.dev/chat/3aff75dd5eff4f63a7f7f97bedfcb99d")</f>
        <v>http://pre.mgx.dev/chat/3aff75dd5eff4f63a7f7f97bedfcb99d</v>
      </c>
      <c r="M506" s="2" t="str">
        <f>=HYPERLINK("", "https://45790-3aff75dd5eff4f63a7f7f97bedfcb99d-3-latest.app.beta.mgx.dev")</f>
        <v>https://45790-3aff75dd5eff4f63a7f7f97bedfcb99d-3-latest.app.beta.mgx.dev</v>
      </c>
      <c r="N506" s="2" t="str">
        <f>=HYPERLINK("mailto:eval_80@auto.com", "eval_80@auto.com")</f>
        <v>eval_80@auto.com</v>
      </c>
      <c r="O506" t="inlineStr">
        <is>
          <t>3aff75dd5eff4f63a7f7f97bedfcb99d</t>
        </is>
      </c>
    </row>
    <row r="507" ht="25.5" customHeight="1">
      <c r="A507" t="inlineStr">
        <is>
          <t>Professional Portfolio</t>
        </is>
      </c>
      <c r="B507">
        <v>39</v>
      </c>
      <c r="C507" t="inlineStr">
        <is>
          <t>@陈佳杰</t>
        </is>
      </c>
      <c r="D507">
        <v>1</v>
      </c>
      <c r="E507"/>
      <c r="F507" t="inlineStr">
        <is>
          <t>@杨春玉</t>
        </is>
      </c>
      <c r="G507">
        <v>1</v>
      </c>
      <c r="H507"/>
      <c r="I507">
        <v>11</v>
      </c>
      <c r="J507" t="inlineStr">
        <is>
          <t>Verify that the project experience section is present on the website</t>
        </is>
      </c>
      <c r="K507" t="inlineStr">
        <is>
          <t>验证网站上存在项目经历板块</t>
        </is>
      </c>
      <c r="L507" s="2" t="str">
        <f>=HYPERLINK("http://pre.mgx.dev/chat/3aff75dd5eff4f63a7f7f97bedfcb99d", "http://pre.mgx.dev/chat/3aff75dd5eff4f63a7f7f97bedfcb99d")</f>
        <v>http://pre.mgx.dev/chat/3aff75dd5eff4f63a7f7f97bedfcb99d</v>
      </c>
      <c r="M507" s="2" t="str">
        <f>=HYPERLINK("", "https://45790-3aff75dd5eff4f63a7f7f97bedfcb99d-3-latest.app.beta.mgx.dev")</f>
        <v>https://45790-3aff75dd5eff4f63a7f7f97bedfcb99d-3-latest.app.beta.mgx.dev</v>
      </c>
      <c r="N507" s="2" t="str">
        <f>=HYPERLINK("mailto:eval_80@auto.com", "eval_80@auto.com")</f>
        <v>eval_80@auto.com</v>
      </c>
      <c r="O507" t="inlineStr">
        <is>
          <t>3aff75dd5eff4f63a7f7f97bedfcb99d</t>
        </is>
      </c>
    </row>
    <row r="508" ht="25.5" customHeight="1">
      <c r="A508" t="inlineStr">
        <is>
          <t>ReactTetris Game</t>
        </is>
      </c>
      <c r="B508">
        <v>40</v>
      </c>
      <c r="C508" t="inlineStr">
        <is>
          <t>@陈佳杰</t>
        </is>
      </c>
      <c r="D508">
        <v>1</v>
      </c>
      <c r="E508"/>
      <c r="F508" t="inlineStr">
        <is>
          <t>@杨春玉</t>
        </is>
      </c>
      <c r="G508">
        <v>1</v>
      </c>
      <c r="H508"/>
      <c r="I508">
        <v>1</v>
      </c>
      <c r="J508" t="inlineStr">
        <is>
          <t>Check hard drop functionality when spacebar is pressed</t>
        </is>
      </c>
      <c r="K508" t="inlineStr">
        <is>
          <t>检查按下空格键时的快速下落功能</t>
        </is>
      </c>
      <c r="L508" s="2" t="str">
        <f>=HYPERLINK("http://pre.mgx.dev/chat/833f90e674354acfb683efd082fa43f9", "http://pre.mgx.dev/chat/833f90e674354acfb683efd082fa43f9")</f>
        <v>http://pre.mgx.dev/chat/833f90e674354acfb683efd082fa43f9</v>
      </c>
      <c r="M508" s="2" t="str">
        <f>=HYPERLINK("", "https://45768-833f90e674354acfb683efd082fa43f9-3-latest.app.beta.mgx.dev")</f>
        <v>https://45768-833f90e674354acfb683efd082fa43f9-3-latest.app.beta.mgx.dev</v>
      </c>
      <c r="N508" s="2" t="str">
        <f>=HYPERLINK("mailto:eval_58@auto.com", "eval_58@auto.com")</f>
        <v>eval_58@auto.com</v>
      </c>
      <c r="O508" t="inlineStr">
        <is>
          <t>833f90e674354acfb683efd082fa43f9</t>
        </is>
      </c>
    </row>
    <row r="509" ht="25.5" customHeight="1">
      <c r="A509" t="inlineStr">
        <is>
          <t>ReactTetris Game</t>
        </is>
      </c>
      <c r="B509">
        <v>40</v>
      </c>
      <c r="C509" t="inlineStr">
        <is>
          <t>@陈佳杰</t>
        </is>
      </c>
      <c r="D509">
        <v>1</v>
      </c>
      <c r="E509"/>
      <c r="F509" t="inlineStr">
        <is>
          <t>@杨春玉</t>
        </is>
      </c>
      <c r="G509">
        <v>1</v>
      </c>
      <c r="H509"/>
      <c r="I509">
        <v>2</v>
      </c>
      <c r="J509" t="inlineStr">
        <is>
          <t>Check if all seven Tetrimino shapes (I, O, T, S, Z, J, L) appear during gameplay</t>
        </is>
      </c>
      <c r="K509" t="inlineStr">
        <is>
          <t>检查游戏过程中是否出现全部七种俄罗斯方块形状（I、O、T、S、Z、J、L）</t>
        </is>
      </c>
      <c r="L509" s="2" t="str">
        <f>=HYPERLINK("http://pre.mgx.dev/chat/833f90e674354acfb683efd082fa43f9", "http://pre.mgx.dev/chat/833f90e674354acfb683efd082fa43f9")</f>
        <v>http://pre.mgx.dev/chat/833f90e674354acfb683efd082fa43f9</v>
      </c>
      <c r="M509" s="2" t="str">
        <f>=HYPERLINK("", "https://45768-833f90e674354acfb683efd082fa43f9-3-latest.app.beta.mgx.dev")</f>
        <v>https://45768-833f90e674354acfb683efd082fa43f9-3-latest.app.beta.mgx.dev</v>
      </c>
      <c r="N509" s="2" t="str">
        <f>=HYPERLINK("mailto:eval_58@auto.com", "eval_58@auto.com")</f>
        <v>eval_58@auto.com</v>
      </c>
      <c r="O509" t="inlineStr">
        <is>
          <t>833f90e674354acfb683efd082fa43f9</t>
        </is>
      </c>
    </row>
    <row r="510" ht="25.5" customHeight="1">
      <c r="A510" t="inlineStr">
        <is>
          <t>ReactTetris Game</t>
        </is>
      </c>
      <c r="B510">
        <v>40</v>
      </c>
      <c r="C510" t="inlineStr">
        <is>
          <t>@陈佳杰</t>
        </is>
      </c>
      <c r="D510">
        <v>1</v>
      </c>
      <c r="E510"/>
      <c r="F510" t="inlineStr">
        <is>
          <t>@杨春玉</t>
        </is>
      </c>
      <c r="G510">
        <v>1</v>
      </c>
      <c r="H510"/>
      <c r="I510">
        <v>3</v>
      </c>
      <c r="J510" t="inlineStr">
        <is>
          <t>Check if the current score display updates in real-time</t>
        </is>
      </c>
      <c r="K510" t="inlineStr">
        <is>
          <t>检查当前分数展示是否实时更新</t>
        </is>
      </c>
      <c r="L510" s="2" t="str">
        <f>=HYPERLINK("http://pre.mgx.dev/chat/833f90e674354acfb683efd082fa43f9", "http://pre.mgx.dev/chat/833f90e674354acfb683efd082fa43f9")</f>
        <v>http://pre.mgx.dev/chat/833f90e674354acfb683efd082fa43f9</v>
      </c>
      <c r="M510" s="2" t="str">
        <f>=HYPERLINK("", "https://45768-833f90e674354acfb683efd082fa43f9-3-latest.app.beta.mgx.dev")</f>
        <v>https://45768-833f90e674354acfb683efd082fa43f9-3-latest.app.beta.mgx.dev</v>
      </c>
      <c r="N510" s="2" t="str">
        <f>=HYPERLINK("mailto:eval_58@auto.com", "eval_58@auto.com")</f>
        <v>eval_58@auto.com</v>
      </c>
      <c r="O510" t="inlineStr">
        <is>
          <t>833f90e674354acfb683efd082fa43f9</t>
        </is>
      </c>
    </row>
    <row r="511" ht="25.5" customHeight="1">
      <c r="A511" t="inlineStr">
        <is>
          <t>ReactTetris Game</t>
        </is>
      </c>
      <c r="B511">
        <v>40</v>
      </c>
      <c r="C511" t="inlineStr">
        <is>
          <t>@陈佳杰</t>
        </is>
      </c>
      <c r="D511">
        <v>1</v>
      </c>
      <c r="E511"/>
      <c r="F511" t="inlineStr">
        <is>
          <t>@杨春玉</t>
        </is>
      </c>
      <c r="G511">
        <v>1</v>
      </c>
      <c r="H511"/>
      <c r="I511">
        <v>4</v>
      </c>
      <c r="J511" t="inlineStr">
        <is>
          <t>Check if the game renders correctly using React Canvas</t>
        </is>
      </c>
      <c r="K511" t="inlineStr">
        <is>
          <t>检查游戏使用React Canvas渲染是否正常</t>
        </is>
      </c>
      <c r="L511" s="2" t="str">
        <f>=HYPERLINK("http://pre.mgx.dev/chat/833f90e674354acfb683efd082fa43f9", "http://pre.mgx.dev/chat/833f90e674354acfb683efd082fa43f9")</f>
        <v>http://pre.mgx.dev/chat/833f90e674354acfb683efd082fa43f9</v>
      </c>
      <c r="M511" s="2" t="str">
        <f>=HYPERLINK("", "https://45768-833f90e674354acfb683efd082fa43f9-3-latest.app.beta.mgx.dev")</f>
        <v>https://45768-833f90e674354acfb683efd082fa43f9-3-latest.app.beta.mgx.dev</v>
      </c>
      <c r="N511" s="2" t="str">
        <f>=HYPERLINK("mailto:eval_58@auto.com", "eval_58@auto.com")</f>
        <v>eval_58@auto.com</v>
      </c>
      <c r="O511" t="inlineStr">
        <is>
          <t>833f90e674354acfb683efd082fa43f9</t>
        </is>
      </c>
    </row>
    <row r="512" ht="25.5" customHeight="1">
      <c r="A512" t="inlineStr">
        <is>
          <t>ReactTetris Game</t>
        </is>
      </c>
      <c r="B512">
        <v>40</v>
      </c>
      <c r="C512" t="inlineStr">
        <is>
          <t>@陈佳杰</t>
        </is>
      </c>
      <c r="D512">
        <v>1</v>
      </c>
      <c r="E512"/>
      <c r="F512" t="inlineStr">
        <is>
          <t>@杨春玉</t>
        </is>
      </c>
      <c r="G512">
        <v>1</v>
      </c>
      <c r="H512"/>
      <c r="I512">
        <v>5</v>
      </c>
      <c r="J512" t="inlineStr">
        <is>
          <t>Check if the ghost piece feature correctly shows where the current piece will land</t>
        </is>
      </c>
      <c r="K512" t="inlineStr">
        <is>
          <t>检查幽灵块功能是否正确显示当前方块的落地点</t>
        </is>
      </c>
      <c r="L512" s="2" t="str">
        <f>=HYPERLINK("http://pre.mgx.dev/chat/833f90e674354acfb683efd082fa43f9", "http://pre.mgx.dev/chat/833f90e674354acfb683efd082fa43f9")</f>
        <v>http://pre.mgx.dev/chat/833f90e674354acfb683efd082fa43f9</v>
      </c>
      <c r="M512" s="2" t="str">
        <f>=HYPERLINK("", "https://45768-833f90e674354acfb683efd082fa43f9-3-latest.app.beta.mgx.dev")</f>
        <v>https://45768-833f90e674354acfb683efd082fa43f9-3-latest.app.beta.mgx.dev</v>
      </c>
      <c r="N512" s="2" t="str">
        <f>=HYPERLINK("mailto:eval_58@auto.com", "eval_58@auto.com")</f>
        <v>eval_58@auto.com</v>
      </c>
      <c r="O512" t="inlineStr">
        <is>
          <t>833f90e674354acfb683efd082fa43f9</t>
        </is>
      </c>
    </row>
    <row r="513" ht="25.5" customHeight="1">
      <c r="A513" t="inlineStr">
        <is>
          <t>ReactTetris Game</t>
        </is>
      </c>
      <c r="B513">
        <v>40</v>
      </c>
      <c r="C513" t="inlineStr">
        <is>
          <t>@陈佳杰</t>
        </is>
      </c>
      <c r="D513">
        <v>1</v>
      </c>
      <c r="E513"/>
      <c r="F513" t="inlineStr">
        <is>
          <t>@杨春玉</t>
        </is>
      </c>
      <c r="G513">
        <v>1</v>
      </c>
      <c r="H513"/>
      <c r="I513">
        <v>6</v>
      </c>
      <c r="J513" t="inlineStr">
        <is>
          <t>Test basic movement controls (left, right, down) for piece manipulation</t>
        </is>
      </c>
      <c r="K513" t="inlineStr">
        <is>
          <t>测试方块操控的基础移动控件（左、右、下）</t>
        </is>
      </c>
      <c r="L513" s="2" t="str">
        <f>=HYPERLINK("http://pre.mgx.dev/chat/833f90e674354acfb683efd082fa43f9", "http://pre.mgx.dev/chat/833f90e674354acfb683efd082fa43f9")</f>
        <v>http://pre.mgx.dev/chat/833f90e674354acfb683efd082fa43f9</v>
      </c>
      <c r="M513" s="2" t="str">
        <f>=HYPERLINK("", "https://45768-833f90e674354acfb683efd082fa43f9-3-latest.app.beta.mgx.dev")</f>
        <v>https://45768-833f90e674354acfb683efd082fa43f9-3-latest.app.beta.mgx.dev</v>
      </c>
      <c r="N513" s="2" t="str">
        <f>=HYPERLINK("mailto:eval_58@auto.com", "eval_58@auto.com")</f>
        <v>eval_58@auto.com</v>
      </c>
      <c r="O513" t="inlineStr">
        <is>
          <t>833f90e674354acfb683efd082fa43f9</t>
        </is>
      </c>
    </row>
    <row r="514" ht="25.5" customHeight="1">
      <c r="A514" t="inlineStr">
        <is>
          <t>ReactTetris Game</t>
        </is>
      </c>
      <c r="B514">
        <v>40</v>
      </c>
      <c r="C514" t="inlineStr">
        <is>
          <t>@陈佳杰</t>
        </is>
      </c>
      <c r="D514">
        <v>1</v>
      </c>
      <c r="E514"/>
      <c r="F514" t="inlineStr">
        <is>
          <t>@杨春玉</t>
        </is>
      </c>
      <c r="G514">
        <v>1</v>
      </c>
      <c r="H514"/>
      <c r="I514">
        <v>7</v>
      </c>
      <c r="J514" t="inlineStr">
        <is>
          <t>Test collision detection by attempting to move pieces into occupied spaces or out of bounds</t>
        </is>
      </c>
      <c r="K514" t="inlineStr">
        <is>
          <t>测试尝试将方块移至已占用区域或边界外，验证碰撞检测功能</t>
        </is>
      </c>
      <c r="L514" s="2" t="str">
        <f>=HYPERLINK("http://pre.mgx.dev/chat/833f90e674354acfb683efd082fa43f9", "http://pre.mgx.dev/chat/833f90e674354acfb683efd082fa43f9")</f>
        <v>http://pre.mgx.dev/chat/833f90e674354acfb683efd082fa43f9</v>
      </c>
      <c r="M514" s="2" t="str">
        <f>=HYPERLINK("", "https://45768-833f90e674354acfb683efd082fa43f9-3-latest.app.beta.mgx.dev")</f>
        <v>https://45768-833f90e674354acfb683efd082fa43f9-3-latest.app.beta.mgx.dev</v>
      </c>
      <c r="N514" s="2" t="str">
        <f>=HYPERLINK("mailto:eval_58@auto.com", "eval_58@auto.com")</f>
        <v>eval_58@auto.com</v>
      </c>
      <c r="O514" t="inlineStr">
        <is>
          <t>833f90e674354acfb683efd082fa43f9</t>
        </is>
      </c>
    </row>
    <row r="515" ht="25.5" customHeight="1">
      <c r="A515" t="inlineStr">
        <is>
          <t>ReactTetris Game</t>
        </is>
      </c>
      <c r="B515">
        <v>40</v>
      </c>
      <c r="C515" t="inlineStr">
        <is>
          <t>@陈佳杰</t>
        </is>
      </c>
      <c r="D515">
        <v>1</v>
      </c>
      <c r="E515"/>
      <c r="F515" t="inlineStr">
        <is>
          <t>@杨春玉</t>
        </is>
      </c>
      <c r="G515">
        <v>1</v>
      </c>
      <c r="H515"/>
      <c r="I515">
        <v>8</v>
      </c>
      <c r="J515" t="inlineStr">
        <is>
          <t>Test if the game level indicator increases as the game progresses</t>
        </is>
      </c>
      <c r="K515" t="inlineStr">
        <is>
          <t>测试游戏等级指示器是否随游戏进程提升</t>
        </is>
      </c>
      <c r="L515" s="2" t="str">
        <f>=HYPERLINK("http://pre.mgx.dev/chat/833f90e674354acfb683efd082fa43f9", "http://pre.mgx.dev/chat/833f90e674354acfb683efd082fa43f9")</f>
        <v>http://pre.mgx.dev/chat/833f90e674354acfb683efd082fa43f9</v>
      </c>
      <c r="M515" s="2" t="str">
        <f>=HYPERLINK("", "https://45768-833f90e674354acfb683efd082fa43f9-3-latest.app.beta.mgx.dev")</f>
        <v>https://45768-833f90e674354acfb683efd082fa43f9-3-latest.app.beta.mgx.dev</v>
      </c>
      <c r="N515" s="2" t="str">
        <f>=HYPERLINK("mailto:eval_58@auto.com", "eval_58@auto.com")</f>
        <v>eval_58@auto.com</v>
      </c>
      <c r="O515" t="inlineStr">
        <is>
          <t>833f90e674354acfb683efd082fa43f9</t>
        </is>
      </c>
    </row>
    <row r="516" ht="25.5" customHeight="1">
      <c r="A516" t="inlineStr">
        <is>
          <t>ReactTetris Game</t>
        </is>
      </c>
      <c r="B516">
        <v>40</v>
      </c>
      <c r="C516" t="inlineStr">
        <is>
          <t>@陈佳杰</t>
        </is>
      </c>
      <c r="D516">
        <v>1</v>
      </c>
      <c r="E516"/>
      <c r="F516" t="inlineStr">
        <is>
          <t>@杨春玉</t>
        </is>
      </c>
      <c r="G516">
        <v>1</v>
      </c>
      <c r="H516"/>
      <c r="I516">
        <v>9</v>
      </c>
      <c r="J516" t="inlineStr">
        <is>
          <t>Test score tracking system updates correctly after line clears</t>
        </is>
      </c>
      <c r="K516" t="inlineStr">
        <is>
          <t>测试消除行后分数追踪系统是否正确更新</t>
        </is>
      </c>
      <c r="L516" s="2" t="str">
        <f>=HYPERLINK("http://pre.mgx.dev/chat/833f90e674354acfb683efd082fa43f9", "http://pre.mgx.dev/chat/833f90e674354acfb683efd082fa43f9")</f>
        <v>http://pre.mgx.dev/chat/833f90e674354acfb683efd082fa43f9</v>
      </c>
      <c r="M516" s="2" t="str">
        <f>=HYPERLINK("", "https://45768-833f90e674354acfb683efd082fa43f9-3-latest.app.beta.mgx.dev")</f>
        <v>https://45768-833f90e674354acfb683efd082fa43f9-3-latest.app.beta.mgx.dev</v>
      </c>
      <c r="N516" s="2" t="str">
        <f>=HYPERLINK("mailto:eval_58@auto.com", "eval_58@auto.com")</f>
        <v>eval_58@auto.com</v>
      </c>
      <c r="O516" t="inlineStr">
        <is>
          <t>833f90e674354acfb683efd082fa43f9</t>
        </is>
      </c>
    </row>
    <row r="517" ht="25.5" customHeight="1">
      <c r="A517" t="inlineStr">
        <is>
          <t>ReactTetris Game</t>
        </is>
      </c>
      <c r="B517">
        <v>40</v>
      </c>
      <c r="C517" t="inlineStr">
        <is>
          <t>@陈佳杰</t>
        </is>
      </c>
      <c r="D517">
        <v>1</v>
      </c>
      <c r="E517"/>
      <c r="F517" t="inlineStr">
        <is>
          <t>@杨春玉</t>
        </is>
      </c>
      <c r="G517">
        <v>1</v>
      </c>
      <c r="H517"/>
      <c r="I517">
        <v>10</v>
      </c>
      <c r="J517" t="inlineStr">
        <is>
          <t>Test the Game over screen appears with a restart option when the game ends</t>
        </is>
      </c>
      <c r="K517" t="inlineStr">
        <is>
          <t>测试游戏结束时展示游戏结束界面并提供重新开始选项</t>
        </is>
      </c>
      <c r="L517" s="2" t="str">
        <f>=HYPERLINK("http://pre.mgx.dev/chat/833f90e674354acfb683efd082fa43f9", "http://pre.mgx.dev/chat/833f90e674354acfb683efd082fa43f9")</f>
        <v>http://pre.mgx.dev/chat/833f90e674354acfb683efd082fa43f9</v>
      </c>
      <c r="M517" s="2" t="str">
        <f>=HYPERLINK("", "https://45768-833f90e674354acfb683efd082fa43f9-3-latest.app.beta.mgx.dev")</f>
        <v>https://45768-833f90e674354acfb683efd082fa43f9-3-latest.app.beta.mgx.dev</v>
      </c>
      <c r="N517" s="2" t="str">
        <f>=HYPERLINK("mailto:eval_58@auto.com", "eval_58@auto.com")</f>
        <v>eval_58@auto.com</v>
      </c>
      <c r="O517" t="inlineStr">
        <is>
          <t>833f90e674354acfb683efd082fa43f9</t>
        </is>
      </c>
    </row>
    <row r="518" ht="25.5" customHeight="1">
      <c r="A518" t="inlineStr">
        <is>
          <t>ReactTetris Game</t>
        </is>
      </c>
      <c r="B518">
        <v>40</v>
      </c>
      <c r="C518" t="inlineStr">
        <is>
          <t>@陈佳杰</t>
        </is>
      </c>
      <c r="D518">
        <v>1</v>
      </c>
      <c r="E518"/>
      <c r="F518" t="inlineStr">
        <is>
          <t>@杨春玉</t>
        </is>
      </c>
      <c r="G518">
        <v>1</v>
      </c>
      <c r="H518"/>
      <c r="I518">
        <v>11</v>
      </c>
      <c r="J518" t="inlineStr">
        <is>
          <t>Verify game over detection when pieces stack to the top of the board</t>
        </is>
      </c>
      <c r="K518" t="inlineStr">
        <is>
          <t>验证方块堆叠至面板顶部时触发游戏结束判定</t>
        </is>
      </c>
      <c r="L518" s="2" t="str">
        <f>=HYPERLINK("http://pre.mgx.dev/chat/833f90e674354acfb683efd082fa43f9", "http://pre.mgx.dev/chat/833f90e674354acfb683efd082fa43f9")</f>
        <v>http://pre.mgx.dev/chat/833f90e674354acfb683efd082fa43f9</v>
      </c>
      <c r="M518" s="2" t="str">
        <f>=HYPERLINK("", "https://45768-833f90e674354acfb683efd082fa43f9-3-latest.app.beta.mgx.dev")</f>
        <v>https://45768-833f90e674354acfb683efd082fa43f9-3-latest.app.beta.mgx.dev</v>
      </c>
      <c r="N518" s="2" t="str">
        <f>=HYPERLINK("mailto:eval_58@auto.com", "eval_58@auto.com")</f>
        <v>eval_58@auto.com</v>
      </c>
      <c r="O518" t="inlineStr">
        <is>
          <t>833f90e674354acfb683efd082fa43f9</t>
        </is>
      </c>
    </row>
    <row r="519" ht="25.5" customHeight="1">
      <c r="A519" t="inlineStr">
        <is>
          <t>ReactTetris Game</t>
        </is>
      </c>
      <c r="B519">
        <v>40</v>
      </c>
      <c r="C519" t="inlineStr">
        <is>
          <t>@陈佳杰</t>
        </is>
      </c>
      <c r="D519">
        <v>1</v>
      </c>
      <c r="E519"/>
      <c r="F519" t="inlineStr">
        <is>
          <t>@杨春玉</t>
        </is>
      </c>
      <c r="G519">
        <v>1</v>
      </c>
      <c r="H519"/>
      <c r="I519">
        <v>12</v>
      </c>
      <c r="J519" t="inlineStr">
        <is>
          <t>Verify keyboard controls work correctly (arrow keys for movement, spacebar for hard drop)</t>
        </is>
      </c>
      <c r="K519" t="inlineStr">
        <is>
          <t>验证键盘控件正常工作（方向键移动、空格键快速下落）</t>
        </is>
      </c>
      <c r="L519" s="2" t="str">
        <f>=HYPERLINK("http://pre.mgx.dev/chat/833f90e674354acfb683efd082fa43f9", "http://pre.mgx.dev/chat/833f90e674354acfb683efd082fa43f9")</f>
        <v>http://pre.mgx.dev/chat/833f90e674354acfb683efd082fa43f9</v>
      </c>
      <c r="M519" s="2" t="str">
        <f>=HYPERLINK("", "https://45768-833f90e674354acfb683efd082fa43f9-3-latest.app.beta.mgx.dev")</f>
        <v>https://45768-833f90e674354acfb683efd082fa43f9-3-latest.app.beta.mgx.dev</v>
      </c>
      <c r="N519" s="2" t="str">
        <f>=HYPERLINK("mailto:eval_58@auto.com", "eval_58@auto.com")</f>
        <v>eval_58@auto.com</v>
      </c>
      <c r="O519" t="inlineStr">
        <is>
          <t>833f90e674354acfb683efd082fa43f9</t>
        </is>
      </c>
    </row>
    <row r="520" ht="25.5" customHeight="1">
      <c r="A520" t="inlineStr">
        <is>
          <t>ReactTetris Game</t>
        </is>
      </c>
      <c r="B520">
        <v>40</v>
      </c>
      <c r="C520" t="inlineStr">
        <is>
          <t>@陈佳杰</t>
        </is>
      </c>
      <c r="D520">
        <v>1</v>
      </c>
      <c r="E520"/>
      <c r="F520" t="inlineStr">
        <is>
          <t>@杨春玉</t>
        </is>
      </c>
      <c r="G520">
        <v>1</v>
      </c>
      <c r="H520"/>
      <c r="I520">
        <v>13</v>
      </c>
      <c r="J520" t="inlineStr">
        <is>
          <t>Verify line clearing mechanics when a full line is completed</t>
        </is>
      </c>
      <c r="K520" t="inlineStr">
        <is>
          <t>验证完成整行时的消行机制</t>
        </is>
      </c>
      <c r="L520" s="2" t="str">
        <f>=HYPERLINK("http://pre.mgx.dev/chat/833f90e674354acfb683efd082fa43f9", "http://pre.mgx.dev/chat/833f90e674354acfb683efd082fa43f9")</f>
        <v>http://pre.mgx.dev/chat/833f90e674354acfb683efd082fa43f9</v>
      </c>
      <c r="M520" s="2" t="str">
        <f>=HYPERLINK("", "https://45768-833f90e674354acfb683efd082fa43f9-3-latest.app.beta.mgx.dev")</f>
        <v>https://45768-833f90e674354acfb683efd082fa43f9-3-latest.app.beta.mgx.dev</v>
      </c>
      <c r="N520" s="2" t="str">
        <f>=HYPERLINK("mailto:eval_58@auto.com", "eval_58@auto.com")</f>
        <v>eval_58@auto.com</v>
      </c>
      <c r="O520" t="inlineStr">
        <is>
          <t>833f90e674354acfb683efd082fa43f9</t>
        </is>
      </c>
    </row>
    <row r="521" ht="25.5" customHeight="1">
      <c r="A521" t="inlineStr">
        <is>
          <t>ReactTetris Game</t>
        </is>
      </c>
      <c r="B521">
        <v>40</v>
      </c>
      <c r="C521" t="inlineStr">
        <is>
          <t>@陈佳杰</t>
        </is>
      </c>
      <c r="D521">
        <v>1</v>
      </c>
      <c r="E521"/>
      <c r="F521" t="inlineStr">
        <is>
          <t>@杨春玉</t>
        </is>
      </c>
      <c r="G521">
        <v>1</v>
      </c>
      <c r="H521"/>
      <c r="I521">
        <v>14</v>
      </c>
      <c r="J521" t="inlineStr">
        <is>
          <t>Verify piece rotation functionality (both clockwise and counter-clockwise)</t>
        </is>
      </c>
      <c r="K521" t="inlineStr">
        <is>
          <t>验证方块旋转功能（顺时针和逆时针）</t>
        </is>
      </c>
      <c r="L521" s="2" t="str">
        <f>=HYPERLINK("http://pre.mgx.dev/chat/833f90e674354acfb683efd082fa43f9", "http://pre.mgx.dev/chat/833f90e674354acfb683efd082fa43f9")</f>
        <v>http://pre.mgx.dev/chat/833f90e674354acfb683efd082fa43f9</v>
      </c>
      <c r="M521" s="2" t="str">
        <f>=HYPERLINK("", "https://45768-833f90e674354acfb683efd082fa43f9-3-latest.app.beta.mgx.dev")</f>
        <v>https://45768-833f90e674354acfb683efd082fa43f9-3-latest.app.beta.mgx.dev</v>
      </c>
      <c r="N521" s="2" t="str">
        <f>=HYPERLINK("mailto:eval_58@auto.com", "eval_58@auto.com")</f>
        <v>eval_58@auto.com</v>
      </c>
      <c r="O521" t="inlineStr">
        <is>
          <t>833f90e674354acfb683efd082fa43f9</t>
        </is>
      </c>
    </row>
    <row r="522" ht="25.5" customHeight="1">
      <c r="A522" t="inlineStr">
        <is>
          <t>ReactTetris Game</t>
        </is>
      </c>
      <c r="B522">
        <v>40</v>
      </c>
      <c r="C522" t="inlineStr">
        <is>
          <t>@陈佳杰</t>
        </is>
      </c>
      <c r="D522">
        <v>1</v>
      </c>
      <c r="E522"/>
      <c r="F522" t="inlineStr">
        <is>
          <t>@杨春玉</t>
        </is>
      </c>
      <c r="G522">
        <v>1</v>
      </c>
      <c r="H522"/>
      <c r="I522">
        <v>15</v>
      </c>
      <c r="J522" t="inlineStr">
        <is>
          <t>Verify progressive difficulty by checking if piece falling speed increases over time</t>
        </is>
      </c>
      <c r="K522" t="inlineStr">
        <is>
          <t>验证难度递进，检查方块下落速度是否随时间加快</t>
        </is>
      </c>
      <c r="L522" s="2" t="str">
        <f>=HYPERLINK("http://pre.mgx.dev/chat/833f90e674354acfb683efd082fa43f9", "http://pre.mgx.dev/chat/833f90e674354acfb683efd082fa43f9")</f>
        <v>http://pre.mgx.dev/chat/833f90e674354acfb683efd082fa43f9</v>
      </c>
      <c r="M522" s="2" t="str">
        <f>=HYPERLINK("", "https://45768-833f90e674354acfb683efd082fa43f9-3-latest.app.beta.mgx.dev")</f>
        <v>https://45768-833f90e674354acfb683efd082fa43f9-3-latest.app.beta.mgx.dev</v>
      </c>
      <c r="N522" s="2" t="str">
        <f>=HYPERLINK("mailto:eval_58@auto.com", "eval_58@auto.com")</f>
        <v>eval_58@auto.com</v>
      </c>
      <c r="O522" t="inlineStr">
        <is>
          <t>833f90e674354acfb683efd082fa43f9</t>
        </is>
      </c>
    </row>
    <row r="523" ht="25.5" customHeight="1">
      <c r="A523" t="inlineStr">
        <is>
          <t>ReactTetris Game</t>
        </is>
      </c>
      <c r="B523">
        <v>40</v>
      </c>
      <c r="C523" t="inlineStr">
        <is>
          <t>@陈佳杰</t>
        </is>
      </c>
      <c r="D523">
        <v>1</v>
      </c>
      <c r="E523"/>
      <c r="F523" t="inlineStr">
        <is>
          <t>@杨春玉</t>
        </is>
      </c>
      <c r="G523">
        <v>0</v>
      </c>
      <c r="H523" t="inlineStr">
        <is>
          <t>暂停后无法继续</t>
        </is>
      </c>
      <c r="I523">
        <v>16</v>
      </c>
      <c r="J523" t="inlineStr">
        <is>
          <t>Verify the Start/Pause button functionality</t>
        </is>
      </c>
      <c r="K523" t="inlineStr">
        <is>
          <t>验证开始/暂停按钮功能</t>
        </is>
      </c>
      <c r="L523" s="2" t="str">
        <f>=HYPERLINK("http://pre.mgx.dev/chat/833f90e674354acfb683efd082fa43f9", "http://pre.mgx.dev/chat/833f90e674354acfb683efd082fa43f9")</f>
        <v>http://pre.mgx.dev/chat/833f90e674354acfb683efd082fa43f9</v>
      </c>
      <c r="M523" s="2" t="str">
        <f>=HYPERLINK("", "https://45768-833f90e674354acfb683efd082fa43f9-3-latest.app.beta.mgx.dev")</f>
        <v>https://45768-833f90e674354acfb683efd082fa43f9-3-latest.app.beta.mgx.dev</v>
      </c>
      <c r="N523" s="2" t="str">
        <f>=HYPERLINK("mailto:eval_58@auto.com", "eval_58@auto.com")</f>
        <v>eval_58@auto.com</v>
      </c>
      <c r="O523" t="inlineStr">
        <is>
          <t>833f90e674354acfb683efd082fa43f9</t>
        </is>
      </c>
    </row>
    <row r="524" ht="25.5" customHeight="1">
      <c r="A524" t="inlineStr">
        <is>
          <t>ReactTetris Game</t>
        </is>
      </c>
      <c r="B524">
        <v>40</v>
      </c>
      <c r="C524" t="inlineStr">
        <is>
          <t>@陈佳杰</t>
        </is>
      </c>
      <c r="D524">
        <v>1</v>
      </c>
      <c r="E524"/>
      <c r="F524" t="inlineStr">
        <is>
          <t>@杨春玉</t>
        </is>
      </c>
      <c r="G524">
        <v>1</v>
      </c>
      <c r="H524"/>
      <c r="I524">
        <v>17</v>
      </c>
      <c r="J524" t="inlineStr">
        <is>
          <t>Verify the game board is displayed with correct dimensions (10x20 grid)</t>
        </is>
      </c>
      <c r="K524" t="inlineStr">
        <is>
          <t>验证游戏面板以正确尺寸展示（10x20网格）</t>
        </is>
      </c>
      <c r="L524" s="2" t="str">
        <f>=HYPERLINK("http://pre.mgx.dev/chat/833f90e674354acfb683efd082fa43f9", "http://pre.mgx.dev/chat/833f90e674354acfb683efd082fa43f9")</f>
        <v>http://pre.mgx.dev/chat/833f90e674354acfb683efd082fa43f9</v>
      </c>
      <c r="M524" s="2" t="str">
        <f>=HYPERLINK("", "https://45768-833f90e674354acfb683efd082fa43f9-3-latest.app.beta.mgx.dev")</f>
        <v>https://45768-833f90e674354acfb683efd082fa43f9-3-latest.app.beta.mgx.dev</v>
      </c>
      <c r="N524" s="2" t="str">
        <f>=HYPERLINK("mailto:eval_58@auto.com", "eval_58@auto.com")</f>
        <v>eval_58@auto.com</v>
      </c>
      <c r="O524" t="inlineStr">
        <is>
          <t>833f90e674354acfb683efd082fa43f9</t>
        </is>
      </c>
    </row>
    <row r="525" ht="25.5" customHeight="1">
      <c r="A525" t="inlineStr">
        <is>
          <t>ReactTetris Game</t>
        </is>
      </c>
      <c r="B525">
        <v>40</v>
      </c>
      <c r="C525" t="inlineStr">
        <is>
          <t>@陈佳杰</t>
        </is>
      </c>
      <c r="D525">
        <v>1</v>
      </c>
      <c r="E525"/>
      <c r="F525" t="inlineStr">
        <is>
          <t>@杨春玉</t>
        </is>
      </c>
      <c r="G525">
        <v>1</v>
      </c>
      <c r="H525"/>
      <c r="I525">
        <v>18</v>
      </c>
      <c r="J525" t="inlineStr">
        <is>
          <t>Verify the next piece preview is displayed and updates correctly</t>
        </is>
      </c>
      <c r="K525" t="inlineStr">
        <is>
          <t>验证下一方块预览区展示且更新正常</t>
        </is>
      </c>
      <c r="L525" s="2" t="str">
        <f>=HYPERLINK("http://pre.mgx.dev/chat/833f90e674354acfb683efd082fa43f9", "http://pre.mgx.dev/chat/833f90e674354acfb683efd082fa43f9")</f>
        <v>http://pre.mgx.dev/chat/833f90e674354acfb683efd082fa43f9</v>
      </c>
      <c r="M525" s="2" t="str">
        <f>=HYPERLINK("", "https://45768-833f90e674354acfb683efd082fa43f9-3-latest.app.beta.mgx.dev")</f>
        <v>https://45768-833f90e674354acfb683efd082fa43f9-3-latest.app.beta.mgx.dev</v>
      </c>
      <c r="N525" s="2" t="str">
        <f>=HYPERLINK("mailto:eval_58@auto.com", "eval_58@auto.com")</f>
        <v>eval_58@auto.com</v>
      </c>
      <c r="O525" t="inlineStr">
        <is>
          <t>833f90e674354acfb683efd082fa43f9</t>
        </is>
      </c>
    </row>
    <row r="526" ht="25.5" customHeight="1">
      <c r="A526" t="inlineStr">
        <is>
          <t>Research Paper Gallery</t>
        </is>
      </c>
      <c r="B526">
        <v>41</v>
      </c>
      <c r="C526" t="inlineStr">
        <is>
          <t>@陈佳杰</t>
        </is>
      </c>
      <c r="D526">
        <v>0</v>
      </c>
      <c r="E526" t="inlineStr">
        <is>
          <t>展示原模版</t>
        </is>
      </c>
      <c r="F526" t="inlineStr">
        <is>
          <t>@杨春玉</t>
        </is>
      </c>
      <c r="G526">
        <v>0</v>
      </c>
      <c r="H526" t="inlineStr">
        <is>
          <t>使用了ppt模板，页面为初始PPT模板内容</t>
        </is>
      </c>
      <c r="I526">
        <v>1</v>
      </c>
      <c r="J526" t="inlineStr">
        <is>
          <t>Check that author information is displayed for each paper</t>
        </is>
      </c>
      <c r="K526" t="inlineStr">
        <is>
          <t>检查每篇论文均展示作者信息</t>
        </is>
      </c>
      <c r="L526" s="2" t="str">
        <f>=HYPERLINK("http://pre.mgx.dev/chat/de566bff2b6d41ca9613159a77293ab7", "http://pre.mgx.dev/chat/de566bff2b6d41ca9613159a77293ab7")</f>
        <v>http://pre.mgx.dev/chat/de566bff2b6d41ca9613159a77293ab7</v>
      </c>
      <c r="M526" s="2" t="str">
        <f>=HYPERLINK("", "https://45747-de566bff2b6d41ca9613159a77293ab7-3-latest.app.beta.mgx.dev")</f>
        <v>https://45747-de566bff2b6d41ca9613159a77293ab7-3-latest.app.beta.mgx.dev</v>
      </c>
      <c r="N526" s="2" t="str">
        <f>=HYPERLINK("mailto:eval_37@auto.com", "eval_37@auto.com")</f>
        <v>eval_37@auto.com</v>
      </c>
      <c r="O526" t="inlineStr">
        <is>
          <t>de566bff2b6d41ca9613159a77293ab7</t>
        </is>
      </c>
    </row>
    <row r="527" ht="25.5" customHeight="1">
      <c r="A527" t="inlineStr">
        <is>
          <t>Research Paper Gallery</t>
        </is>
      </c>
      <c r="B527">
        <v>41</v>
      </c>
      <c r="C527" t="inlineStr">
        <is>
          <t>@陈佳杰</t>
        </is>
      </c>
      <c r="D527">
        <v>0</v>
      </c>
      <c r="E527" t="inlineStr">
        <is>
          <t>展示原模版</t>
        </is>
      </c>
      <c r="F527" t="inlineStr">
        <is>
          <t>@杨春玉</t>
        </is>
      </c>
      <c r="G527">
        <v>0</v>
      </c>
      <c r="H527" t="inlineStr">
        <is>
          <t>使用了ppt模板，页面为初始PPT模板内容</t>
        </is>
      </c>
      <c r="I527">
        <v>2</v>
      </c>
      <c r="J527" t="inlineStr">
        <is>
          <t>Check that clearing all filters returns the full list of papers</t>
        </is>
      </c>
      <c r="K527" t="inlineStr">
        <is>
          <t>检查清除所有筛选条件后返回完整的论文列表</t>
        </is>
      </c>
      <c r="L527" s="2" t="str">
        <f>=HYPERLINK("http://pre.mgx.dev/chat/de566bff2b6d41ca9613159a77293ab7", "http://pre.mgx.dev/chat/de566bff2b6d41ca9613159a77293ab7")</f>
        <v>http://pre.mgx.dev/chat/de566bff2b6d41ca9613159a77293ab7</v>
      </c>
      <c r="M527" s="2" t="str">
        <f>=HYPERLINK("", "https://45747-de566bff2b6d41ca9613159a77293ab7-3-latest.app.beta.mgx.dev")</f>
        <v>https://45747-de566bff2b6d41ca9613159a77293ab7-3-latest.app.beta.mgx.dev</v>
      </c>
      <c r="N527" s="2" t="str">
        <f>=HYPERLINK("mailto:eval_37@auto.com", "eval_37@auto.com")</f>
        <v>eval_37@auto.com</v>
      </c>
      <c r="O527" t="inlineStr">
        <is>
          <t>de566bff2b6d41ca9613159a77293ab7</t>
        </is>
      </c>
    </row>
    <row r="528" ht="25.5" customHeight="1">
      <c r="A528" t="inlineStr">
        <is>
          <t>Research Paper Gallery</t>
        </is>
      </c>
      <c r="B528">
        <v>41</v>
      </c>
      <c r="C528" t="inlineStr">
        <is>
          <t>@陈佳杰</t>
        </is>
      </c>
      <c r="D528">
        <v>0</v>
      </c>
      <c r="E528" t="inlineStr">
        <is>
          <t>展示原模版</t>
        </is>
      </c>
      <c r="F528" t="inlineStr">
        <is>
          <t>@杨春玉</t>
        </is>
      </c>
      <c r="G528">
        <v>0</v>
      </c>
      <c r="H528" t="inlineStr">
        <is>
          <t>使用了ppt模板，页面为初始PPT模板内容</t>
        </is>
      </c>
      <c r="I528">
        <v>3</v>
      </c>
      <c r="J528" t="inlineStr">
        <is>
          <t>Confirm that a graphical representation of the research methodology is present</t>
        </is>
      </c>
      <c r="K528" t="inlineStr">
        <is>
          <t>确认存在研究方法的可视化展示</t>
        </is>
      </c>
      <c r="L528" s="2" t="str">
        <f>=HYPERLINK("http://pre.mgx.dev/chat/de566bff2b6d41ca9613159a77293ab7", "http://pre.mgx.dev/chat/de566bff2b6d41ca9613159a77293ab7")</f>
        <v>http://pre.mgx.dev/chat/de566bff2b6d41ca9613159a77293ab7</v>
      </c>
      <c r="M528" s="2" t="str">
        <f>=HYPERLINK("", "https://45747-de566bff2b6d41ca9613159a77293ab7-3-latest.app.beta.mgx.dev")</f>
        <v>https://45747-de566bff2b6d41ca9613159a77293ab7-3-latest.app.beta.mgx.dev</v>
      </c>
      <c r="N528" s="2" t="str">
        <f>=HYPERLINK("mailto:eval_37@auto.com", "eval_37@auto.com")</f>
        <v>eval_37@auto.com</v>
      </c>
      <c r="O528" t="inlineStr">
        <is>
          <t>de566bff2b6d41ca9613159a77293ab7</t>
        </is>
      </c>
    </row>
    <row r="529" ht="25.5" customHeight="1">
      <c r="A529" t="inlineStr">
        <is>
          <t>Research Paper Gallery</t>
        </is>
      </c>
      <c r="B529">
        <v>41</v>
      </c>
      <c r="C529" t="inlineStr">
        <is>
          <t>@陈佳杰</t>
        </is>
      </c>
      <c r="D529">
        <v>0</v>
      </c>
      <c r="E529" t="inlineStr">
        <is>
          <t>展示原模版</t>
        </is>
      </c>
      <c r="F529" t="inlineStr">
        <is>
          <t>@杨春玉</t>
        </is>
      </c>
      <c r="G529">
        <v>0</v>
      </c>
      <c r="H529" t="inlineStr">
        <is>
          <t>使用了ppt模板，页面为初始PPT模板内容</t>
        </is>
      </c>
      <c r="I529">
        <v>4</v>
      </c>
      <c r="J529" t="inlineStr">
        <is>
          <t>Ensure that keywords for each paper are listed</t>
        </is>
      </c>
      <c r="K529" t="inlineStr">
        <is>
          <t>确保列出每篇论文的关键词</t>
        </is>
      </c>
      <c r="L529" s="2" t="str">
        <f>=HYPERLINK("http://pre.mgx.dev/chat/de566bff2b6d41ca9613159a77293ab7", "http://pre.mgx.dev/chat/de566bff2b6d41ca9613159a77293ab7")</f>
        <v>http://pre.mgx.dev/chat/de566bff2b6d41ca9613159a77293ab7</v>
      </c>
      <c r="M529" s="2" t="str">
        <f>=HYPERLINK("", "https://45747-de566bff2b6d41ca9613159a77293ab7-3-latest.app.beta.mgx.dev")</f>
        <v>https://45747-de566bff2b6d41ca9613159a77293ab7-3-latest.app.beta.mgx.dev</v>
      </c>
      <c r="N529" s="2" t="str">
        <f>=HYPERLINK("mailto:eval_37@auto.com", "eval_37@auto.com")</f>
        <v>eval_37@auto.com</v>
      </c>
      <c r="O529" t="inlineStr">
        <is>
          <t>de566bff2b6d41ca9613159a77293ab7</t>
        </is>
      </c>
    </row>
    <row r="530" ht="25.5" customHeight="1">
      <c r="A530" t="inlineStr">
        <is>
          <t>Research Paper Gallery</t>
        </is>
      </c>
      <c r="B530">
        <v>41</v>
      </c>
      <c r="C530" t="inlineStr">
        <is>
          <t>@陈佳杰</t>
        </is>
      </c>
      <c r="D530">
        <v>0</v>
      </c>
      <c r="E530" t="inlineStr">
        <is>
          <t>展示原模版</t>
        </is>
      </c>
      <c r="F530" t="inlineStr">
        <is>
          <t>@杨春玉</t>
        </is>
      </c>
      <c r="G530">
        <v>0</v>
      </c>
      <c r="H530" t="inlineStr">
        <is>
          <t>使用了ppt模板，页面为初始PPT模板内容</t>
        </is>
      </c>
      <c r="I530">
        <v>5</v>
      </c>
      <c r="J530" t="inlineStr">
        <is>
          <t>Ensure that papers are correctly filtered when a tag is selected</t>
        </is>
      </c>
      <c r="K530" t="inlineStr">
        <is>
          <t>确保选择标签后论文被正确筛选</t>
        </is>
      </c>
      <c r="L530" s="2" t="str">
        <f>=HYPERLINK("http://pre.mgx.dev/chat/de566bff2b6d41ca9613159a77293ab7", "http://pre.mgx.dev/chat/de566bff2b6d41ca9613159a77293ab7")</f>
        <v>http://pre.mgx.dev/chat/de566bff2b6d41ca9613159a77293ab7</v>
      </c>
      <c r="M530" s="2" t="str">
        <f>=HYPERLINK("", "https://45747-de566bff2b6d41ca9613159a77293ab7-3-latest.app.beta.mgx.dev")</f>
        <v>https://45747-de566bff2b6d41ca9613159a77293ab7-3-latest.app.beta.mgx.dev</v>
      </c>
      <c r="N530" s="2" t="str">
        <f>=HYPERLINK("mailto:eval_37@auto.com", "eval_37@auto.com")</f>
        <v>eval_37@auto.com</v>
      </c>
      <c r="O530" t="inlineStr">
        <is>
          <t>de566bff2b6d41ca9613159a77293ab7</t>
        </is>
      </c>
    </row>
    <row r="531" ht="25.5" customHeight="1">
      <c r="A531" t="inlineStr">
        <is>
          <t>Research Paper Gallery</t>
        </is>
      </c>
      <c r="B531">
        <v>41</v>
      </c>
      <c r="C531" t="inlineStr">
        <is>
          <t>@陈佳杰</t>
        </is>
      </c>
      <c r="D531">
        <v>0</v>
      </c>
      <c r="E531" t="inlineStr">
        <is>
          <t>展示原模版</t>
        </is>
      </c>
      <c r="F531" t="inlineStr">
        <is>
          <t>@杨春玉</t>
        </is>
      </c>
      <c r="G531">
        <v>0</v>
      </c>
      <c r="H531" t="inlineStr">
        <is>
          <t>使用了ppt模板，页面为初始PPT模板内容</t>
        </is>
      </c>
      <c r="I531">
        <v>6</v>
      </c>
      <c r="J531" t="inlineStr">
        <is>
          <t>Test that each dataset download link is functional and initiates a download</t>
        </is>
      </c>
      <c r="K531" t="inlineStr">
        <is>
          <t>测试每个数据集下载链接功能正常且可触发下载</t>
        </is>
      </c>
      <c r="L531" s="2" t="str">
        <f>=HYPERLINK("http://pre.mgx.dev/chat/de566bff2b6d41ca9613159a77293ab7", "http://pre.mgx.dev/chat/de566bff2b6d41ca9613159a77293ab7")</f>
        <v>http://pre.mgx.dev/chat/de566bff2b6d41ca9613159a77293ab7</v>
      </c>
      <c r="M531" s="2" t="str">
        <f>=HYPERLINK("", "https://45747-de566bff2b6d41ca9613159a77293ab7-3-latest.app.beta.mgx.dev")</f>
        <v>https://45747-de566bff2b6d41ca9613159a77293ab7-3-latest.app.beta.mgx.dev</v>
      </c>
      <c r="N531" s="2" t="str">
        <f>=HYPERLINK("mailto:eval_37@auto.com", "eval_37@auto.com")</f>
        <v>eval_37@auto.com</v>
      </c>
      <c r="O531" t="inlineStr">
        <is>
          <t>de566bff2b6d41ca9613159a77293ab7</t>
        </is>
      </c>
    </row>
    <row r="532" ht="25.5" customHeight="1">
      <c r="A532" t="inlineStr">
        <is>
          <t>Research Paper Gallery</t>
        </is>
      </c>
      <c r="B532">
        <v>41</v>
      </c>
      <c r="C532" t="inlineStr">
        <is>
          <t>@陈佳杰</t>
        </is>
      </c>
      <c r="D532">
        <v>0</v>
      </c>
      <c r="E532" t="inlineStr">
        <is>
          <t>展示原模版</t>
        </is>
      </c>
      <c r="F532" t="inlineStr">
        <is>
          <t>@杨春玉</t>
        </is>
      </c>
      <c r="G532">
        <v>0</v>
      </c>
      <c r="H532" t="inlineStr">
        <is>
          <t>使用了ppt模板，页面为初始PPT模板内容</t>
        </is>
      </c>
      <c r="I532">
        <v>7</v>
      </c>
      <c r="J532" t="inlineStr">
        <is>
          <t>Test the filtering functionality by selecting different tags</t>
        </is>
      </c>
      <c r="K532" t="inlineStr">
        <is>
          <t>测试选择不同标签的筛选功能</t>
        </is>
      </c>
      <c r="L532" s="2" t="str">
        <f>=HYPERLINK("http://pre.mgx.dev/chat/de566bff2b6d41ca9613159a77293ab7", "http://pre.mgx.dev/chat/de566bff2b6d41ca9613159a77293ab7")</f>
        <v>http://pre.mgx.dev/chat/de566bff2b6d41ca9613159a77293ab7</v>
      </c>
      <c r="M532" s="2" t="str">
        <f>=HYPERLINK("", "https://45747-de566bff2b6d41ca9613159a77293ab7-3-latest.app.beta.mgx.dev")</f>
        <v>https://45747-de566bff2b6d41ca9613159a77293ab7-3-latest.app.beta.mgx.dev</v>
      </c>
      <c r="N532" s="2" t="str">
        <f>=HYPERLINK("mailto:eval_37@auto.com", "eval_37@auto.com")</f>
        <v>eval_37@auto.com</v>
      </c>
      <c r="O532" t="inlineStr">
        <is>
          <t>de566bff2b6d41ca9613159a77293ab7</t>
        </is>
      </c>
    </row>
    <row r="533" ht="25.5" customHeight="1">
      <c r="A533" t="inlineStr">
        <is>
          <t>Research Paper Gallery</t>
        </is>
      </c>
      <c r="B533">
        <v>41</v>
      </c>
      <c r="C533" t="inlineStr">
        <is>
          <t>@陈佳杰</t>
        </is>
      </c>
      <c r="D533">
        <v>0</v>
      </c>
      <c r="E533" t="inlineStr">
        <is>
          <t>展示原模版</t>
        </is>
      </c>
      <c r="F533" t="inlineStr">
        <is>
          <t>@杨春玉</t>
        </is>
      </c>
      <c r="G533">
        <v>0</v>
      </c>
      <c r="H533" t="inlineStr">
        <is>
          <t>使用了ppt模板，页面为初始PPT模板内容</t>
        </is>
      </c>
      <c r="I533">
        <v>8</v>
      </c>
      <c r="J533" t="inlineStr">
        <is>
          <t>Validate that the list of papers is complete and accurate</t>
        </is>
      </c>
      <c r="K533" t="inlineStr">
        <is>
          <t>验证论文列表完整且准确</t>
        </is>
      </c>
      <c r="L533" s="2" t="str">
        <f>=HYPERLINK("http://pre.mgx.dev/chat/de566bff2b6d41ca9613159a77293ab7", "http://pre.mgx.dev/chat/de566bff2b6d41ca9613159a77293ab7")</f>
        <v>http://pre.mgx.dev/chat/de566bff2b6d41ca9613159a77293ab7</v>
      </c>
      <c r="M533" s="2" t="str">
        <f>=HYPERLINK("", "https://45747-de566bff2b6d41ca9613159a77293ab7-3-latest.app.beta.mgx.dev")</f>
        <v>https://45747-de566bff2b6d41ca9613159a77293ab7-3-latest.app.beta.mgx.dev</v>
      </c>
      <c r="N533" s="2" t="str">
        <f>=HYPERLINK("mailto:eval_37@auto.com", "eval_37@auto.com")</f>
        <v>eval_37@auto.com</v>
      </c>
      <c r="O533" t="inlineStr">
        <is>
          <t>de566bff2b6d41ca9613159a77293ab7</t>
        </is>
      </c>
    </row>
    <row r="534" ht="25.5" customHeight="1">
      <c r="A534" t="inlineStr">
        <is>
          <t>Research Paper Gallery</t>
        </is>
      </c>
      <c r="B534">
        <v>41</v>
      </c>
      <c r="C534" t="inlineStr">
        <is>
          <t>@陈佳杰</t>
        </is>
      </c>
      <c r="D534">
        <v>0</v>
      </c>
      <c r="E534" t="inlineStr">
        <is>
          <t>展示原模版</t>
        </is>
      </c>
      <c r="F534" t="inlineStr">
        <is>
          <t>@杨春玉</t>
        </is>
      </c>
      <c r="G534">
        <v>0</v>
      </c>
      <c r="H534" t="inlineStr">
        <is>
          <t>使用了ppt模板，页面为初始PPT模板内容</t>
        </is>
      </c>
      <c r="I534">
        <v>9</v>
      </c>
      <c r="J534" t="inlineStr">
        <is>
          <t>Verify that a paper tag filtering feature is available on the page</t>
        </is>
      </c>
      <c r="K534" t="inlineStr">
        <is>
          <t>验证页面上提供论文标签筛选功能</t>
        </is>
      </c>
      <c r="L534" s="2" t="str">
        <f>=HYPERLINK("http://pre.mgx.dev/chat/de566bff2b6d41ca9613159a77293ab7", "http://pre.mgx.dev/chat/de566bff2b6d41ca9613159a77293ab7")</f>
        <v>http://pre.mgx.dev/chat/de566bff2b6d41ca9613159a77293ab7</v>
      </c>
      <c r="M534" s="2" t="str">
        <f>=HYPERLINK("", "https://45747-de566bff2b6d41ca9613159a77293ab7-3-latest.app.beta.mgx.dev")</f>
        <v>https://45747-de566bff2b6d41ca9613159a77293ab7-3-latest.app.beta.mgx.dev</v>
      </c>
      <c r="N534" s="2" t="str">
        <f>=HYPERLINK("mailto:eval_37@auto.com", "eval_37@auto.com")</f>
        <v>eval_37@auto.com</v>
      </c>
      <c r="O534" t="inlineStr">
        <is>
          <t>de566bff2b6d41ca9613159a77293ab7</t>
        </is>
      </c>
    </row>
    <row r="535" ht="25.5" customHeight="1">
      <c r="A535" t="inlineStr">
        <is>
          <t>Research Paper Gallery</t>
        </is>
      </c>
      <c r="B535">
        <v>41</v>
      </c>
      <c r="C535" t="inlineStr">
        <is>
          <t>@陈佳杰</t>
        </is>
      </c>
      <c r="D535">
        <v>0</v>
      </c>
      <c r="E535" t="inlineStr">
        <is>
          <t>展示原模版</t>
        </is>
      </c>
      <c r="F535" t="inlineStr">
        <is>
          <t>@杨春玉</t>
        </is>
      </c>
      <c r="G535">
        <v>0</v>
      </c>
      <c r="H535" t="inlineStr">
        <is>
          <t>使用了ppt模板，页面为初始PPT模板内容</t>
        </is>
      </c>
      <c r="I535">
        <v>10</v>
      </c>
      <c r="J535" t="inlineStr">
        <is>
          <t>Verify that all 5 paper titles are displayed on the page</t>
        </is>
      </c>
      <c r="K535" t="inlineStr">
        <is>
          <t>验证页面上展示全部5篇论文的标题</t>
        </is>
      </c>
      <c r="L535" s="2" t="str">
        <f>=HYPERLINK("http://pre.mgx.dev/chat/de566bff2b6d41ca9613159a77293ab7", "http://pre.mgx.dev/chat/de566bff2b6d41ca9613159a77293ab7")</f>
        <v>http://pre.mgx.dev/chat/de566bff2b6d41ca9613159a77293ab7</v>
      </c>
      <c r="M535" s="2" t="str">
        <f>=HYPERLINK("", "https://45747-de566bff2b6d41ca9613159a77293ab7-3-latest.app.beta.mgx.dev")</f>
        <v>https://45747-de566bff2b6d41ca9613159a77293ab7-3-latest.app.beta.mgx.dev</v>
      </c>
      <c r="N535" s="2" t="str">
        <f>=HYPERLINK("mailto:eval_37@auto.com", "eval_37@auto.com")</f>
        <v>eval_37@auto.com</v>
      </c>
      <c r="O535" t="inlineStr">
        <is>
          <t>de566bff2b6d41ca9613159a77293ab7</t>
        </is>
      </c>
    </row>
    <row r="536" ht="25.5" customHeight="1">
      <c r="A536" t="inlineStr">
        <is>
          <t>Research Paper Gallery</t>
        </is>
      </c>
      <c r="B536">
        <v>41</v>
      </c>
      <c r="C536" t="inlineStr">
        <is>
          <t>@陈佳杰</t>
        </is>
      </c>
      <c r="D536">
        <v>0</v>
      </c>
      <c r="E536" t="inlineStr">
        <is>
          <t>展示原模版</t>
        </is>
      </c>
      <c r="F536" t="inlineStr">
        <is>
          <t>@杨春玉</t>
        </is>
      </c>
      <c r="G536">
        <v>0</v>
      </c>
      <c r="H536" t="inlineStr">
        <is>
          <t>使用了ppt模板，页面为初始PPT模板内容</t>
        </is>
      </c>
      <c r="I536">
        <v>11</v>
      </c>
      <c r="J536" t="inlineStr">
        <is>
          <t>Verify that author names are correctly associated with their respective papers</t>
        </is>
      </c>
      <c r="K536" t="inlineStr">
        <is>
          <t>验证作者姓名与对应的论文正确关联</t>
        </is>
      </c>
      <c r="L536" s="2" t="str">
        <f>=HYPERLINK("http://pre.mgx.dev/chat/de566bff2b6d41ca9613159a77293ab7", "http://pre.mgx.dev/chat/de566bff2b6d41ca9613159a77293ab7")</f>
        <v>http://pre.mgx.dev/chat/de566bff2b6d41ca9613159a77293ab7</v>
      </c>
      <c r="M536" s="2" t="str">
        <f>=HYPERLINK("", "https://45747-de566bff2b6d41ca9613159a77293ab7-3-latest.app.beta.mgx.dev")</f>
        <v>https://45747-de566bff2b6d41ca9613159a77293ab7-3-latest.app.beta.mgx.dev</v>
      </c>
      <c r="N536" s="2" t="str">
        <f>=HYPERLINK("mailto:eval_37@auto.com", "eval_37@auto.com")</f>
        <v>eval_37@auto.com</v>
      </c>
      <c r="O536" t="inlineStr">
        <is>
          <t>de566bff2b6d41ca9613159a77293ab7</t>
        </is>
      </c>
    </row>
    <row r="537" ht="25.5" customHeight="1">
      <c r="A537" t="inlineStr">
        <is>
          <t>Research Paper Gallery</t>
        </is>
      </c>
      <c r="B537">
        <v>41</v>
      </c>
      <c r="C537" t="inlineStr">
        <is>
          <t>@陈佳杰</t>
        </is>
      </c>
      <c r="D537">
        <v>0</v>
      </c>
      <c r="E537" t="inlineStr">
        <is>
          <t>展示原模版</t>
        </is>
      </c>
      <c r="F537" t="inlineStr">
        <is>
          <t>@杨春玉</t>
        </is>
      </c>
      <c r="G537">
        <v>0</v>
      </c>
      <c r="H537" t="inlineStr">
        <is>
          <t>使用了ppt模板，页面为初始PPT模板内容</t>
        </is>
      </c>
      <c r="I537">
        <v>12</v>
      </c>
      <c r="J537" t="inlineStr">
        <is>
          <t>Verify that dataset download links are present for each paper</t>
        </is>
      </c>
      <c r="K537" t="inlineStr">
        <is>
          <t>验证每篇论文均配有数据集下载链接</t>
        </is>
      </c>
      <c r="L537" s="2" t="str">
        <f>=HYPERLINK("http://pre.mgx.dev/chat/de566bff2b6d41ca9613159a77293ab7", "http://pre.mgx.dev/chat/de566bff2b6d41ca9613159a77293ab7")</f>
        <v>http://pre.mgx.dev/chat/de566bff2b6d41ca9613159a77293ab7</v>
      </c>
      <c r="M537" s="2" t="str">
        <f>=HYPERLINK("", "https://45747-de566bff2b6d41ca9613159a77293ab7-3-latest.app.beta.mgx.dev")</f>
        <v>https://45747-de566bff2b6d41ca9613159a77293ab7-3-latest.app.beta.mgx.dev</v>
      </c>
      <c r="N537" s="2" t="str">
        <f>=HYPERLINK("mailto:eval_37@auto.com", "eval_37@auto.com")</f>
        <v>eval_37@auto.com</v>
      </c>
      <c r="O537" t="inlineStr">
        <is>
          <t>de566bff2b6d41ca9613159a77293ab7</t>
        </is>
      </c>
    </row>
    <row r="538" ht="25.5" customHeight="1">
      <c r="A538" t="inlineStr">
        <is>
          <t>Research Paper Gallery</t>
        </is>
      </c>
      <c r="B538">
        <v>41</v>
      </c>
      <c r="C538" t="inlineStr">
        <is>
          <t>@陈佳杰</t>
        </is>
      </c>
      <c r="D538">
        <v>0</v>
      </c>
      <c r="E538" t="inlineStr">
        <is>
          <t>展示原模版</t>
        </is>
      </c>
      <c r="F538" t="inlineStr">
        <is>
          <t>@杨春玉</t>
        </is>
      </c>
      <c r="G538">
        <v>0</v>
      </c>
      <c r="H538" t="inlineStr">
        <is>
          <t>使用了ppt模板，页面为初始PPT模板内容</t>
        </is>
      </c>
      <c r="I538">
        <v>13</v>
      </c>
      <c r="J538" t="inlineStr">
        <is>
          <t>Verify that multiple tags can be selected for filtering</t>
        </is>
      </c>
      <c r="K538" t="inlineStr">
        <is>
          <t>验证可选择多个标签进行筛选</t>
        </is>
      </c>
      <c r="L538" s="2" t="str">
        <f>=HYPERLINK("http://pre.mgx.dev/chat/de566bff2b6d41ca9613159a77293ab7", "http://pre.mgx.dev/chat/de566bff2b6d41ca9613159a77293ab7")</f>
        <v>http://pre.mgx.dev/chat/de566bff2b6d41ca9613159a77293ab7</v>
      </c>
      <c r="M538" s="2" t="str">
        <f>=HYPERLINK("", "https://45747-de566bff2b6d41ca9613159a77293ab7-3-latest.app.beta.mgx.dev")</f>
        <v>https://45747-de566bff2b6d41ca9613159a77293ab7-3-latest.app.beta.mgx.dev</v>
      </c>
      <c r="N538" s="2" t="str">
        <f>=HYPERLINK("mailto:eval_37@auto.com", "eval_37@auto.com")</f>
        <v>eval_37@auto.com</v>
      </c>
      <c r="O538" t="inlineStr">
        <is>
          <t>de566bff2b6d41ca9613159a77293ab7</t>
        </is>
      </c>
    </row>
    <row r="539" ht="25.5" customHeight="1">
      <c r="A539" t="inlineStr">
        <is>
          <t>ShapeMaster</t>
        </is>
      </c>
      <c r="B539">
        <v>42</v>
      </c>
      <c r="C539" t="inlineStr">
        <is>
          <t>@陈佳杰</t>
        </is>
      </c>
      <c r="D539">
        <v>0</v>
      </c>
      <c r="E539" t="inlineStr">
        <is>
          <t>没有该工具</t>
        </is>
      </c>
      <c r="F539" t="inlineStr">
        <is>
          <t>@杨春玉</t>
        </is>
      </c>
      <c r="G539">
        <v>0</v>
      </c>
      <c r="H539" t="inlineStr">
        <is>
          <t>Layers卡片挡住了对齐功能</t>
        </is>
      </c>
      <c r="I539">
        <v>1</v>
      </c>
      <c r="J539" t="inlineStr">
        <is>
          <t>Check alignment tools (left, right, top, bottom, center) for multiple selected shapes</t>
        </is>
      </c>
      <c r="K539" t="inlineStr">
        <is>
          <t>检查多个选中形状的对齐工具（左对齐、右对齐、顶部对齐、底部对齐、居中对齐）</t>
        </is>
      </c>
      <c r="L539" s="2" t="str">
        <f>=HYPERLINK("http://pre.mgx.dev/chat/e22e1343f2144f2bbae7defbb0b521d4", "http://pre.mgx.dev/chat/e22e1343f2144f2bbae7defbb0b521d4")</f>
        <v>http://pre.mgx.dev/chat/e22e1343f2144f2bbae7defbb0b521d4</v>
      </c>
      <c r="M539" s="2" t="str">
        <f>=HYPERLINK("", "https://45803-e22e1343f2144f2bbae7defbb0b521d4-3-latest.app.beta.mgx.dev")</f>
        <v>https://45803-e22e1343f2144f2bbae7defbb0b521d4-3-latest.app.beta.mgx.dev</v>
      </c>
      <c r="N539" s="2" t="str">
        <f>=HYPERLINK("mailto:eval_93@auto.com", "eval_93@auto.com")</f>
        <v>eval_93@auto.com</v>
      </c>
      <c r="O539" t="inlineStr">
        <is>
          <t>e22e1343f2144f2bbae7defbb0b521d4</t>
        </is>
      </c>
    </row>
    <row r="540" ht="25.5" customHeight="1">
      <c r="A540" t="inlineStr">
        <is>
          <t>ShapeMaster</t>
        </is>
      </c>
      <c r="B540">
        <v>42</v>
      </c>
      <c r="C540" t="inlineStr">
        <is>
          <t>@陈佳杰</t>
        </is>
      </c>
      <c r="D540">
        <v>1</v>
      </c>
      <c r="E540"/>
      <c r="F540" t="inlineStr">
        <is>
          <t>@杨春玉</t>
        </is>
      </c>
      <c r="G540">
        <v>1</v>
      </c>
      <c r="H540"/>
      <c r="I540">
        <v>2</v>
      </c>
      <c r="J540" t="inlineStr">
        <is>
          <t>Check gradient editor functionality by setting start/end colors and direction</t>
        </is>
      </c>
      <c r="K540" t="inlineStr">
        <is>
          <t>检查渐变编辑器功能，可设置起始/结束颜色和方向</t>
        </is>
      </c>
      <c r="L540" s="2" t="str">
        <f>=HYPERLINK("http://pre.mgx.dev/chat/e22e1343f2144f2bbae7defbb0b521d4", "http://pre.mgx.dev/chat/e22e1343f2144f2bbae7defbb0b521d4")</f>
        <v>http://pre.mgx.dev/chat/e22e1343f2144f2bbae7defbb0b521d4</v>
      </c>
      <c r="M540" s="2" t="str">
        <f>=HYPERLINK("", "https://45803-e22e1343f2144f2bbae7defbb0b521d4-3-latest.app.beta.mgx.dev")</f>
        <v>https://45803-e22e1343f2144f2bbae7defbb0b521d4-3-latest.app.beta.mgx.dev</v>
      </c>
      <c r="N540" s="2" t="str">
        <f>=HYPERLINK("mailto:eval_93@auto.com", "eval_93@auto.com")</f>
        <v>eval_93@auto.com</v>
      </c>
      <c r="O540" t="inlineStr">
        <is>
          <t>e22e1343f2144f2bbae7defbb0b521d4</t>
        </is>
      </c>
    </row>
    <row r="541" ht="25.5" customHeight="1">
      <c r="A541" t="inlineStr">
        <is>
          <t>ShapeMaster</t>
        </is>
      </c>
      <c r="B541">
        <v>42</v>
      </c>
      <c r="C541" t="inlineStr">
        <is>
          <t>@陈佳杰</t>
        </is>
      </c>
      <c r="D541">
        <v>1</v>
      </c>
      <c r="E541"/>
      <c r="F541" t="inlineStr">
        <is>
          <t>@杨春玉</t>
        </is>
      </c>
      <c r="G541">
        <v>1</v>
      </c>
      <c r="H541"/>
      <c r="I541">
        <v>3</v>
      </c>
      <c r="J541" t="inlineStr">
        <is>
          <t>Check if all geometric shape tools (rectangle, circle, triangle, and polygon) are present in the toolbar</t>
        </is>
      </c>
      <c r="K541" t="inlineStr">
        <is>
          <t>检查工具栏中是否包含所有几何形状工具（矩形、圆形、三角形、多边形）</t>
        </is>
      </c>
      <c r="L541" s="2" t="str">
        <f>=HYPERLINK("http://pre.mgx.dev/chat/e22e1343f2144f2bbae7defbb0b521d4", "http://pre.mgx.dev/chat/e22e1343f2144f2bbae7defbb0b521d4")</f>
        <v>http://pre.mgx.dev/chat/e22e1343f2144f2bbae7defbb0b521d4</v>
      </c>
      <c r="M541" s="2" t="str">
        <f>=HYPERLINK("", "https://45803-e22e1343f2144f2bbae7defbb0b521d4-3-latest.app.beta.mgx.dev")</f>
        <v>https://45803-e22e1343f2144f2bbae7defbb0b521d4-3-latest.app.beta.mgx.dev</v>
      </c>
      <c r="N541" s="2" t="str">
        <f>=HYPERLINK("mailto:eval_93@auto.com", "eval_93@auto.com")</f>
        <v>eval_93@auto.com</v>
      </c>
      <c r="O541" t="inlineStr">
        <is>
          <t>e22e1343f2144f2bbae7defbb0b521d4</t>
        </is>
      </c>
    </row>
    <row r="542" ht="25.5" customHeight="1">
      <c r="A542" t="inlineStr">
        <is>
          <t>ShapeMaster</t>
        </is>
      </c>
      <c r="B542">
        <v>42</v>
      </c>
      <c r="C542" t="inlineStr">
        <is>
          <t>@陈佳杰</t>
        </is>
      </c>
      <c r="D542">
        <v>1</v>
      </c>
      <c r="E542"/>
      <c r="F542" t="inlineStr">
        <is>
          <t>@杨春玉</t>
        </is>
      </c>
      <c r="G542">
        <v>1</v>
      </c>
      <c r="H542"/>
      <c r="I542">
        <v>4</v>
      </c>
      <c r="J542" t="inlineStr">
        <is>
          <t>Check if circle-specific properties (radius) are available when a circle is selected</t>
        </is>
      </c>
      <c r="K542" t="inlineStr">
        <is>
          <t>检查选中圆形时是否提供圆形专属属性（半径）设置</t>
        </is>
      </c>
      <c r="L542" s="2" t="str">
        <f>=HYPERLINK("http://pre.mgx.dev/chat/e22e1343f2144f2bbae7defbb0b521d4", "http://pre.mgx.dev/chat/e22e1343f2144f2bbae7defbb0b521d4")</f>
        <v>http://pre.mgx.dev/chat/e22e1343f2144f2bbae7defbb0b521d4</v>
      </c>
      <c r="M542" s="2" t="str">
        <f>=HYPERLINK("", "https://45803-e22e1343f2144f2bbae7defbb0b521d4-3-latest.app.beta.mgx.dev")</f>
        <v>https://45803-e22e1343f2144f2bbae7defbb0b521d4-3-latest.app.beta.mgx.dev</v>
      </c>
      <c r="N542" s="2" t="str">
        <f>=HYPERLINK("mailto:eval_93@auto.com", "eval_93@auto.com")</f>
        <v>eval_93@auto.com</v>
      </c>
      <c r="O542" t="inlineStr">
        <is>
          <t>e22e1343f2144f2bbae7defbb0b521d4</t>
        </is>
      </c>
    </row>
    <row r="543" ht="25.5" customHeight="1">
      <c r="A543" t="inlineStr">
        <is>
          <t>ShapeMaster</t>
        </is>
      </c>
      <c r="B543">
        <v>42</v>
      </c>
      <c r="C543" t="inlineStr">
        <is>
          <t>@陈佳杰</t>
        </is>
      </c>
      <c r="D543">
        <v>0</v>
      </c>
      <c r="E543" t="inlineStr">
        <is>
          <t>无法调整图层顺序</t>
        </is>
      </c>
      <c r="F543" t="inlineStr">
        <is>
          <t>@杨春玉</t>
        </is>
      </c>
      <c r="G543">
        <v>0</v>
      </c>
      <c r="H543" t="inlineStr">
        <is>
          <t>调整图层后不生效</t>
        </is>
      </c>
      <c r="I543">
        <v>5</v>
      </c>
      <c r="J543" t="inlineStr">
        <is>
          <t>Check if the layer order can be adjusted through the visual layer panel</t>
        </is>
      </c>
      <c r="K543" t="inlineStr">
        <is>
          <t>检查可通过可视化图层面板调整图层顺序</t>
        </is>
      </c>
      <c r="L543" s="2" t="str">
        <f>=HYPERLINK("http://pre.mgx.dev/chat/e22e1343f2144f2bbae7defbb0b521d4", "http://pre.mgx.dev/chat/e22e1343f2144f2bbae7defbb0b521d4")</f>
        <v>http://pre.mgx.dev/chat/e22e1343f2144f2bbae7defbb0b521d4</v>
      </c>
      <c r="M543" s="2" t="str">
        <f>=HYPERLINK("", "https://45803-e22e1343f2144f2bbae7defbb0b521d4-3-latest.app.beta.mgx.dev")</f>
        <v>https://45803-e22e1343f2144f2bbae7defbb0b521d4-3-latest.app.beta.mgx.dev</v>
      </c>
      <c r="N543" s="2" t="str">
        <f>=HYPERLINK("mailto:eval_93@auto.com", "eval_93@auto.com")</f>
        <v>eval_93@auto.com</v>
      </c>
      <c r="O543" t="inlineStr">
        <is>
          <t>e22e1343f2144f2bbae7defbb0b521d4</t>
        </is>
      </c>
    </row>
    <row r="544" ht="25.5" customHeight="1">
      <c r="A544" t="inlineStr">
        <is>
          <t>ShapeMaster</t>
        </is>
      </c>
      <c r="B544">
        <v>42</v>
      </c>
      <c r="C544" t="inlineStr">
        <is>
          <t>@陈佳杰</t>
        </is>
      </c>
      <c r="D544">
        <v>1</v>
      </c>
      <c r="E544"/>
      <c r="F544" t="inlineStr">
        <is>
          <t>@杨春玉</t>
        </is>
      </c>
      <c r="G544">
        <v>1</v>
      </c>
      <c r="H544"/>
      <c r="I544">
        <v>6</v>
      </c>
      <c r="J544" t="inlineStr">
        <is>
          <t>Confirm the presence of a layer management system or panel</t>
        </is>
      </c>
      <c r="K544" t="inlineStr">
        <is>
          <t>确认存在图层管理系统或面板</t>
        </is>
      </c>
      <c r="L544" s="2" t="str">
        <f>=HYPERLINK("http://pre.mgx.dev/chat/e22e1343f2144f2bbae7defbb0b521d4", "http://pre.mgx.dev/chat/e22e1343f2144f2bbae7defbb0b521d4")</f>
        <v>http://pre.mgx.dev/chat/e22e1343f2144f2bbae7defbb0b521d4</v>
      </c>
      <c r="M544" s="2" t="str">
        <f>=HYPERLINK("", "https://45803-e22e1343f2144f2bbae7defbb0b521d4-3-latest.app.beta.mgx.dev")</f>
        <v>https://45803-e22e1343f2144f2bbae7defbb0b521d4-3-latest.app.beta.mgx.dev</v>
      </c>
      <c r="N544" s="2" t="str">
        <f>=HYPERLINK("mailto:eval_93@auto.com", "eval_93@auto.com")</f>
        <v>eval_93@auto.com</v>
      </c>
      <c r="O544" t="inlineStr">
        <is>
          <t>e22e1343f2144f2bbae7defbb0b521d4</t>
        </is>
      </c>
    </row>
    <row r="545" ht="25.5" customHeight="1">
      <c r="A545" t="inlineStr">
        <is>
          <t>ShapeMaster</t>
        </is>
      </c>
      <c r="B545">
        <v>42</v>
      </c>
      <c r="C545" t="inlineStr">
        <is>
          <t>@陈佳杰</t>
        </is>
      </c>
      <c r="D545">
        <v>1</v>
      </c>
      <c r="E545"/>
      <c r="F545" t="inlineStr">
        <is>
          <t>@杨春玉</t>
        </is>
      </c>
      <c r="G545">
        <v>1</v>
      </c>
      <c r="H545"/>
      <c r="I545">
        <v>7</v>
      </c>
      <c r="J545" t="inlineStr">
        <is>
          <t>Confirm the properties panel is visible and accessible</t>
        </is>
      </c>
      <c r="K545" t="inlineStr">
        <is>
          <t>确认属性面板可见且可访问</t>
        </is>
      </c>
      <c r="L545" s="2" t="str">
        <f>=HYPERLINK("http://pre.mgx.dev/chat/e22e1343f2144f2bbae7defbb0b521d4", "http://pre.mgx.dev/chat/e22e1343f2144f2bbae7defbb0b521d4")</f>
        <v>http://pre.mgx.dev/chat/e22e1343f2144f2bbae7defbb0b521d4</v>
      </c>
      <c r="M545" s="2" t="str">
        <f>=HYPERLINK("", "https://45803-e22e1343f2144f2bbae7defbb0b521d4-3-latest.app.beta.mgx.dev")</f>
        <v>https://45803-e22e1343f2144f2bbae7defbb0b521d4-3-latest.app.beta.mgx.dev</v>
      </c>
      <c r="N545" s="2" t="str">
        <f>=HYPERLINK("mailto:eval_93@auto.com", "eval_93@auto.com")</f>
        <v>eval_93@auto.com</v>
      </c>
      <c r="O545" t="inlineStr">
        <is>
          <t>e22e1343f2144f2bbae7defbb0b521d4</t>
        </is>
      </c>
    </row>
    <row r="546" ht="25.5" customHeight="1">
      <c r="A546" t="inlineStr">
        <is>
          <t>ShapeMaster</t>
        </is>
      </c>
      <c r="B546">
        <v>42</v>
      </c>
      <c r="C546" t="inlineStr">
        <is>
          <t>@陈佳杰</t>
        </is>
      </c>
      <c r="D546">
        <v>1</v>
      </c>
      <c r="E546"/>
      <c r="F546" t="inlineStr">
        <is>
          <t>@杨春玉</t>
        </is>
      </c>
      <c r="G546">
        <v>1</v>
      </c>
      <c r="H546"/>
      <c r="I546">
        <v>8</v>
      </c>
      <c r="J546" t="inlineStr">
        <is>
          <t>Ensure that shapes are created with the correct geometry when using each tool</t>
        </is>
      </c>
      <c r="K546" t="inlineStr">
        <is>
          <t>确保使用各工具创建的形状几何属性正确</t>
        </is>
      </c>
      <c r="L546" s="2" t="str">
        <f>=HYPERLINK("http://pre.mgx.dev/chat/e22e1343f2144f2bbae7defbb0b521d4", "http://pre.mgx.dev/chat/e22e1343f2144f2bbae7defbb0b521d4")</f>
        <v>http://pre.mgx.dev/chat/e22e1343f2144f2bbae7defbb0b521d4</v>
      </c>
      <c r="M546" s="2" t="str">
        <f>=HYPERLINK("", "https://45803-e22e1343f2144f2bbae7defbb0b521d4-3-latest.app.beta.mgx.dev")</f>
        <v>https://45803-e22e1343f2144f2bbae7defbb0b521d4-3-latest.app.beta.mgx.dev</v>
      </c>
      <c r="N546" s="2" t="str">
        <f>=HYPERLINK("mailto:eval_93@auto.com", "eval_93@auto.com")</f>
        <v>eval_93@auto.com</v>
      </c>
      <c r="O546" t="inlineStr">
        <is>
          <t>e22e1343f2144f2bbae7defbb0b521d4</t>
        </is>
      </c>
    </row>
    <row r="547" ht="25.5" customHeight="1">
      <c r="A547" t="inlineStr">
        <is>
          <t>ShapeMaster</t>
        </is>
      </c>
      <c r="B547">
        <v>42</v>
      </c>
      <c r="C547" t="inlineStr">
        <is>
          <t>@陈佳杰</t>
        </is>
      </c>
      <c r="D547">
        <v>1</v>
      </c>
      <c r="E547"/>
      <c r="F547" t="inlineStr">
        <is>
          <t>@杨春玉</t>
        </is>
      </c>
      <c r="G547">
        <v>1</v>
      </c>
      <c r="H547"/>
      <c r="I547">
        <v>9</v>
      </c>
      <c r="J547" t="inlineStr">
        <is>
          <t>Ensure that style changes are immediately reflected on the selected shape</t>
        </is>
      </c>
      <c r="K547" t="inlineStr">
        <is>
          <t>确保样式修改即时反映在选中的形状上</t>
        </is>
      </c>
      <c r="L547" s="2" t="str">
        <f>=HYPERLINK("http://pre.mgx.dev/chat/e22e1343f2144f2bbae7defbb0b521d4", "http://pre.mgx.dev/chat/e22e1343f2144f2bbae7defbb0b521d4")</f>
        <v>http://pre.mgx.dev/chat/e22e1343f2144f2bbae7defbb0b521d4</v>
      </c>
      <c r="M547" s="2" t="str">
        <f>=HYPERLINK("", "https://45803-e22e1343f2144f2bbae7defbb0b521d4-3-latest.app.beta.mgx.dev")</f>
        <v>https://45803-e22e1343f2144f2bbae7defbb0b521d4-3-latest.app.beta.mgx.dev</v>
      </c>
      <c r="N547" s="2" t="str">
        <f>=HYPERLINK("mailto:eval_93@auto.com", "eval_93@auto.com")</f>
        <v>eval_93@auto.com</v>
      </c>
      <c r="O547" t="inlineStr">
        <is>
          <t>e22e1343f2144f2bbae7defbb0b521d4</t>
        </is>
      </c>
    </row>
    <row r="548" ht="25.5" customHeight="1">
      <c r="A548" t="inlineStr">
        <is>
          <t>ShapeMaster</t>
        </is>
      </c>
      <c r="B548">
        <v>42</v>
      </c>
      <c r="C548" t="inlineStr">
        <is>
          <t>@陈佳杰</t>
        </is>
      </c>
      <c r="D548">
        <v>1</v>
      </c>
      <c r="E548"/>
      <c r="F548" t="inlineStr">
        <is>
          <t>@杨春玉</t>
        </is>
      </c>
      <c r="G548">
        <v>1</v>
      </c>
      <c r="H548"/>
      <c r="I548">
        <v>10</v>
      </c>
      <c r="J548" t="inlineStr">
        <is>
          <t>Test applying a solid fill color to a shape using the color picker</t>
        </is>
      </c>
      <c r="K548" t="inlineStr">
        <is>
          <t>测试使用取色器为形状应用纯色填充</t>
        </is>
      </c>
      <c r="L548" s="2" t="str">
        <f>=HYPERLINK("http://pre.mgx.dev/chat/e22e1343f2144f2bbae7defbb0b521d4", "http://pre.mgx.dev/chat/e22e1343f2144f2bbae7defbb0b521d4")</f>
        <v>http://pre.mgx.dev/chat/e22e1343f2144f2bbae7defbb0b521d4</v>
      </c>
      <c r="M548" s="2" t="str">
        <f>=HYPERLINK("", "https://45803-e22e1343f2144f2bbae7defbb0b521d4-3-latest.app.beta.mgx.dev")</f>
        <v>https://45803-e22e1343f2144f2bbae7defbb0b521d4-3-latest.app.beta.mgx.dev</v>
      </c>
      <c r="N548" s="2" t="str">
        <f>=HYPERLINK("mailto:eval_93@auto.com", "eval_93@auto.com")</f>
        <v>eval_93@auto.com</v>
      </c>
      <c r="O548" t="inlineStr">
        <is>
          <t>e22e1343f2144f2bbae7defbb0b521d4</t>
        </is>
      </c>
    </row>
    <row r="549" ht="25.5" customHeight="1">
      <c r="A549" t="inlineStr">
        <is>
          <t>ShapeMaster</t>
        </is>
      </c>
      <c r="B549">
        <v>42</v>
      </c>
      <c r="C549" t="inlineStr">
        <is>
          <t>@陈佳杰</t>
        </is>
      </c>
      <c r="D549">
        <v>1</v>
      </c>
      <c r="E549"/>
      <c r="F549" t="inlineStr">
        <is>
          <t>@杨春玉</t>
        </is>
      </c>
      <c r="G549">
        <v>1</v>
      </c>
      <c r="H549"/>
      <c r="I549">
        <v>11</v>
      </c>
      <c r="J549" t="inlineStr">
        <is>
          <t>Test numeric inputs for width, height, and position coordinates of a selected shape</t>
        </is>
      </c>
      <c r="K549" t="inlineStr">
        <is>
          <t>测试为选中形状的宽度、高度和位置坐标输入数值</t>
        </is>
      </c>
      <c r="L549" s="2" t="str">
        <f>=HYPERLINK("http://pre.mgx.dev/chat/e22e1343f2144f2bbae7defbb0b521d4", "http://pre.mgx.dev/chat/e22e1343f2144f2bbae7defbb0b521d4")</f>
        <v>http://pre.mgx.dev/chat/e22e1343f2144f2bbae7defbb0b521d4</v>
      </c>
      <c r="M549" s="2" t="str">
        <f>=HYPERLINK("", "https://45803-e22e1343f2144f2bbae7defbb0b521d4-3-latest.app.beta.mgx.dev")</f>
        <v>https://45803-e22e1343f2144f2bbae7defbb0b521d4-3-latest.app.beta.mgx.dev</v>
      </c>
      <c r="N549" s="2" t="str">
        <f>=HYPERLINK("mailto:eval_93@auto.com", "eval_93@auto.com")</f>
        <v>eval_93@auto.com</v>
      </c>
      <c r="O549" t="inlineStr">
        <is>
          <t>e22e1343f2144f2bbae7defbb0b521d4</t>
        </is>
      </c>
    </row>
    <row r="550" ht="25.5" customHeight="1">
      <c r="A550" t="inlineStr">
        <is>
          <t>ShapeMaster</t>
        </is>
      </c>
      <c r="B550">
        <v>42</v>
      </c>
      <c r="C550" t="inlineStr">
        <is>
          <t>@陈佳杰</t>
        </is>
      </c>
      <c r="D550">
        <v>1</v>
      </c>
      <c r="E550"/>
      <c r="F550" t="inlineStr">
        <is>
          <t>@杨春玉</t>
        </is>
      </c>
      <c r="G550">
        <v>1</v>
      </c>
      <c r="H550"/>
      <c r="I550">
        <v>12</v>
      </c>
      <c r="J550" t="inlineStr">
        <is>
          <t>Test polygon-specific properties (number of sides) when a polygon is selected</t>
        </is>
      </c>
      <c r="K550" t="inlineStr">
        <is>
          <t>测试选中多边形时是否提供多边形专属属性（边数）设置</t>
        </is>
      </c>
      <c r="L550" s="2" t="str">
        <f>=HYPERLINK("http://pre.mgx.dev/chat/e22e1343f2144f2bbae7defbb0b521d4", "http://pre.mgx.dev/chat/e22e1343f2144f2bbae7defbb0b521d4")</f>
        <v>http://pre.mgx.dev/chat/e22e1343f2144f2bbae7defbb0b521d4</v>
      </c>
      <c r="M550" s="2" t="str">
        <f>=HYPERLINK("", "https://45803-e22e1343f2144f2bbae7defbb0b521d4-3-latest.app.beta.mgx.dev")</f>
        <v>https://45803-e22e1343f2144f2bbae7defbb0b521d4-3-latest.app.beta.mgx.dev</v>
      </c>
      <c r="N550" s="2" t="str">
        <f>=HYPERLINK("mailto:eval_93@auto.com", "eval_93@auto.com")</f>
        <v>eval_93@auto.com</v>
      </c>
      <c r="O550" t="inlineStr">
        <is>
          <t>e22e1343f2144f2bbae7defbb0b521d4</t>
        </is>
      </c>
    </row>
    <row r="551" ht="25.5" customHeight="1">
      <c r="A551" t="inlineStr">
        <is>
          <t>ShapeMaster</t>
        </is>
      </c>
      <c r="B551">
        <v>42</v>
      </c>
      <c r="C551" t="inlineStr">
        <is>
          <t>@陈佳杰</t>
        </is>
      </c>
      <c r="D551">
        <v>1</v>
      </c>
      <c r="E551"/>
      <c r="F551" t="inlineStr">
        <is>
          <t>@杨春玉</t>
        </is>
      </c>
      <c r="G551">
        <v>1</v>
      </c>
      <c r="H551"/>
      <c r="I551">
        <v>13</v>
      </c>
      <c r="J551" t="inlineStr">
        <is>
          <t>Test the ability to select multiple shapes on the canvas</t>
        </is>
      </c>
      <c r="K551" t="inlineStr">
        <is>
          <t>测试在画布上选择多个形状的功能</t>
        </is>
      </c>
      <c r="L551" s="2" t="str">
        <f>=HYPERLINK("http://pre.mgx.dev/chat/e22e1343f2144f2bbae7defbb0b521d4", "http://pre.mgx.dev/chat/e22e1343f2144f2bbae7defbb0b521d4")</f>
        <v>http://pre.mgx.dev/chat/e22e1343f2144f2bbae7defbb0b521d4</v>
      </c>
      <c r="M551" s="2" t="str">
        <f>=HYPERLINK("", "https://45803-e22e1343f2144f2bbae7defbb0b521d4-3-latest.app.beta.mgx.dev")</f>
        <v>https://45803-e22e1343f2144f2bbae7defbb0b521d4-3-latest.app.beta.mgx.dev</v>
      </c>
      <c r="N551" s="2" t="str">
        <f>=HYPERLINK("mailto:eval_93@auto.com", "eval_93@auto.com")</f>
        <v>eval_93@auto.com</v>
      </c>
      <c r="O551" t="inlineStr">
        <is>
          <t>e22e1343f2144f2bbae7defbb0b521d4</t>
        </is>
      </c>
    </row>
    <row r="552" ht="25.5" customHeight="1">
      <c r="A552" t="inlineStr">
        <is>
          <t>ShapeMaster</t>
        </is>
      </c>
      <c r="B552">
        <v>42</v>
      </c>
      <c r="C552" t="inlineStr">
        <is>
          <t>@陈佳杰</t>
        </is>
      </c>
      <c r="D552">
        <v>1</v>
      </c>
      <c r="E552"/>
      <c r="F552" t="inlineStr">
        <is>
          <t>@杨春玉</t>
        </is>
      </c>
      <c r="G552">
        <v>1</v>
      </c>
      <c r="H552"/>
      <c r="I552">
        <v>14</v>
      </c>
      <c r="J552" t="inlineStr">
        <is>
          <t>Test the functionality of each shape tool by clicking and dragging on the canvas</t>
        </is>
      </c>
      <c r="K552" t="inlineStr">
        <is>
          <t>测试点击并在画布上拖拽，验证各形状工具的功能</t>
        </is>
      </c>
      <c r="L552" s="2" t="str">
        <f>=HYPERLINK("http://pre.mgx.dev/chat/e22e1343f2144f2bbae7defbb0b521d4", "http://pre.mgx.dev/chat/e22e1343f2144f2bbae7defbb0b521d4")</f>
        <v>http://pre.mgx.dev/chat/e22e1343f2144f2bbae7defbb0b521d4</v>
      </c>
      <c r="M552" s="2" t="str">
        <f>=HYPERLINK("", "https://45803-e22e1343f2144f2bbae7defbb0b521d4-3-latest.app.beta.mgx.dev")</f>
        <v>https://45803-e22e1343f2144f2bbae7defbb0b521d4-3-latest.app.beta.mgx.dev</v>
      </c>
      <c r="N552" s="2" t="str">
        <f>=HYPERLINK("mailto:eval_93@auto.com", "eval_93@auto.com")</f>
        <v>eval_93@auto.com</v>
      </c>
      <c r="O552" t="inlineStr">
        <is>
          <t>e22e1343f2144f2bbae7defbb0b521d4</t>
        </is>
      </c>
    </row>
    <row r="553" ht="25.5" customHeight="1">
      <c r="A553" t="inlineStr">
        <is>
          <t>ShapeMaster</t>
        </is>
      </c>
      <c r="B553">
        <v>42</v>
      </c>
      <c r="C553" t="inlineStr">
        <is>
          <t>@陈佳杰</t>
        </is>
      </c>
      <c r="D553">
        <v>0</v>
      </c>
      <c r="E553" t="inlineStr">
        <is>
          <t>组合功能不可用</t>
        </is>
      </c>
      <c r="F553" t="inlineStr">
        <is>
          <t>@杨春玉</t>
        </is>
      </c>
      <c r="G553">
        <v>1</v>
      </c>
      <c r="H553"/>
      <c r="I553">
        <v>15</v>
      </c>
      <c r="J553" t="inlineStr">
        <is>
          <t>Test ungrouping a previously grouped set of shapes</t>
        </is>
      </c>
      <c r="K553" t="inlineStr">
        <is>
          <t>测试取消组合之前已组合的形状</t>
        </is>
      </c>
      <c r="L553" s="2" t="str">
        <f>=HYPERLINK("http://pre.mgx.dev/chat/e22e1343f2144f2bbae7defbb0b521d4", "http://pre.mgx.dev/chat/e22e1343f2144f2bbae7defbb0b521d4")</f>
        <v>http://pre.mgx.dev/chat/e22e1343f2144f2bbae7defbb0b521d4</v>
      </c>
      <c r="M553" s="2" t="str">
        <f>=HYPERLINK("", "https://45803-e22e1343f2144f2bbae7defbb0b521d4-3-latest.app.beta.mgx.dev")</f>
        <v>https://45803-e22e1343f2144f2bbae7defbb0b521d4-3-latest.app.beta.mgx.dev</v>
      </c>
      <c r="N553" s="2" t="str">
        <f>=HYPERLINK("mailto:eval_93@auto.com", "eval_93@auto.com")</f>
        <v>eval_93@auto.com</v>
      </c>
      <c r="O553" t="inlineStr">
        <is>
          <t>e22e1343f2144f2bbae7defbb0b521d4</t>
        </is>
      </c>
    </row>
    <row r="554" ht="25.5" customHeight="1">
      <c r="A554" t="inlineStr">
        <is>
          <t>ShapeMaster</t>
        </is>
      </c>
      <c r="B554">
        <v>42</v>
      </c>
      <c r="C554" t="inlineStr">
        <is>
          <t>@陈佳杰</t>
        </is>
      </c>
      <c r="D554">
        <v>1</v>
      </c>
      <c r="E554"/>
      <c r="F554" t="inlineStr">
        <is>
          <t>@杨春玉</t>
        </is>
      </c>
      <c r="G554">
        <v>1</v>
      </c>
      <c r="H554"/>
      <c r="I554">
        <v>16</v>
      </c>
      <c r="J554" t="inlineStr">
        <is>
          <t>Verify that changing values in the properties panel updates the shape on the canvas</t>
        </is>
      </c>
      <c r="K554" t="inlineStr">
        <is>
          <t>验证修改属性面板中的数值可同步更新画布上的形状</t>
        </is>
      </c>
      <c r="L554" s="2" t="str">
        <f>=HYPERLINK("http://pre.mgx.dev/chat/e22e1343f2144f2bbae7defbb0b521d4", "http://pre.mgx.dev/chat/e22e1343f2144f2bbae7defbb0b521d4")</f>
        <v>http://pre.mgx.dev/chat/e22e1343f2144f2bbae7defbb0b521d4</v>
      </c>
      <c r="M554" s="2" t="str">
        <f>=HYPERLINK("", "https://45803-e22e1343f2144f2bbae7defbb0b521d4-3-latest.app.beta.mgx.dev")</f>
        <v>https://45803-e22e1343f2144f2bbae7defbb0b521d4-3-latest.app.beta.mgx.dev</v>
      </c>
      <c r="N554" s="2" t="str">
        <f>=HYPERLINK("mailto:eval_93@auto.com", "eval_93@auto.com")</f>
        <v>eval_93@auto.com</v>
      </c>
      <c r="O554" t="inlineStr">
        <is>
          <t>e22e1343f2144f2bbae7defbb0b521d4</t>
        </is>
      </c>
    </row>
    <row r="555" ht="25.5" customHeight="1">
      <c r="A555" t="inlineStr">
        <is>
          <t>ShapeMaster</t>
        </is>
      </c>
      <c r="B555">
        <v>42</v>
      </c>
      <c r="C555" t="inlineStr">
        <is>
          <t>@陈佳杰</t>
        </is>
      </c>
      <c r="D555">
        <v>1</v>
      </c>
      <c r="E555"/>
      <c r="F555" t="inlineStr">
        <is>
          <t>@杨春玉</t>
        </is>
      </c>
      <c r="G555">
        <v>1</v>
      </c>
      <c r="H555"/>
      <c r="I555">
        <v>17</v>
      </c>
      <c r="J555" t="inlineStr">
        <is>
          <t>Verify that the drawing toolbar is visible on the page</t>
        </is>
      </c>
      <c r="K555" t="inlineStr">
        <is>
          <t>验证页面上展示绘图工具栏</t>
        </is>
      </c>
      <c r="L555" s="2" t="str">
        <f>=HYPERLINK("http://pre.mgx.dev/chat/e22e1343f2144f2bbae7defbb0b521d4", "http://pre.mgx.dev/chat/e22e1343f2144f2bbae7defbb0b521d4")</f>
        <v>http://pre.mgx.dev/chat/e22e1343f2144f2bbae7defbb0b521d4</v>
      </c>
      <c r="M555" s="2" t="str">
        <f>=HYPERLINK("", "https://45803-e22e1343f2144f2bbae7defbb0b521d4-3-latest.app.beta.mgx.dev")</f>
        <v>https://45803-e22e1343f2144f2bbae7defbb0b521d4-3-latest.app.beta.mgx.dev</v>
      </c>
      <c r="N555" s="2" t="str">
        <f>=HYPERLINK("mailto:eval_93@auto.com", "eval_93@auto.com")</f>
        <v>eval_93@auto.com</v>
      </c>
      <c r="O555" t="inlineStr">
        <is>
          <t>e22e1343f2144f2bbae7defbb0b521d4</t>
        </is>
      </c>
    </row>
    <row r="556" ht="25.5" customHeight="1">
      <c r="A556" t="inlineStr">
        <is>
          <t>ShapeMaster</t>
        </is>
      </c>
      <c r="B556">
        <v>42</v>
      </c>
      <c r="C556" t="inlineStr">
        <is>
          <t>@陈佳杰</t>
        </is>
      </c>
      <c r="D556">
        <v>0</v>
      </c>
      <c r="E556" t="inlineStr">
        <is>
          <t>组合功能不可用</t>
        </is>
      </c>
      <c r="F556" t="inlineStr">
        <is>
          <t>@杨春玉</t>
        </is>
      </c>
      <c r="G556">
        <v>1</v>
      </c>
      <c r="H556"/>
      <c r="I556">
        <v>18</v>
      </c>
      <c r="J556" t="inlineStr">
        <is>
          <t>Verify the grouping function works correctly for multiple selected shapes</t>
        </is>
      </c>
      <c r="K556" t="inlineStr">
        <is>
          <t>验证多个选中形状的组合功能正常</t>
        </is>
      </c>
      <c r="L556" s="2" t="str">
        <f>=HYPERLINK("http://pre.mgx.dev/chat/e22e1343f2144f2bbae7defbb0b521d4", "http://pre.mgx.dev/chat/e22e1343f2144f2bbae7defbb0b521d4")</f>
        <v>http://pre.mgx.dev/chat/e22e1343f2144f2bbae7defbb0b521d4</v>
      </c>
      <c r="M556" s="2" t="str">
        <f>=HYPERLINK("", "https://45803-e22e1343f2144f2bbae7defbb0b521d4-3-latest.app.beta.mgx.dev")</f>
        <v>https://45803-e22e1343f2144f2bbae7defbb0b521d4-3-latest.app.beta.mgx.dev</v>
      </c>
      <c r="N556" s="2" t="str">
        <f>=HYPERLINK("mailto:eval_93@auto.com", "eval_93@auto.com")</f>
        <v>eval_93@auto.com</v>
      </c>
      <c r="O556" t="inlineStr">
        <is>
          <t>e22e1343f2144f2bbae7defbb0b521d4</t>
        </is>
      </c>
    </row>
    <row r="557" ht="25.5" customHeight="1">
      <c r="A557" t="inlineStr">
        <is>
          <t>ShapeMaster</t>
        </is>
      </c>
      <c r="B557">
        <v>42</v>
      </c>
      <c r="C557" t="inlineStr">
        <is>
          <t>@陈佳杰</t>
        </is>
      </c>
      <c r="D557">
        <v>1</v>
      </c>
      <c r="E557"/>
      <c r="F557" t="inlineStr">
        <is>
          <t>@杨春玉</t>
        </is>
      </c>
      <c r="G557">
        <v>1</v>
      </c>
      <c r="H557"/>
      <c r="I557">
        <v>19</v>
      </c>
      <c r="J557" t="inlineStr">
        <is>
          <t>Verify the presence of fill color picker, gradient editor, and pattern selection tools</t>
        </is>
      </c>
      <c r="K557" t="inlineStr">
        <is>
          <t>验证存在纯色取色器、渐变编辑器和图案选择工具</t>
        </is>
      </c>
      <c r="L557" s="2" t="str">
        <f>=HYPERLINK("http://pre.mgx.dev/chat/e22e1343f2144f2bbae7defbb0b521d4", "http://pre.mgx.dev/chat/e22e1343f2144f2bbae7defbb0b521d4")</f>
        <v>http://pre.mgx.dev/chat/e22e1343f2144f2bbae7defbb0b521d4</v>
      </c>
      <c r="M557" s="2" t="str">
        <f>=HYPERLINK("", "https://45803-e22e1343f2144f2bbae7defbb0b521d4-3-latest.app.beta.mgx.dev")</f>
        <v>https://45803-e22e1343f2144f2bbae7defbb0b521d4-3-latest.app.beta.mgx.dev</v>
      </c>
      <c r="N557" s="2" t="str">
        <f>=HYPERLINK("mailto:eval_93@auto.com", "eval_93@auto.com")</f>
        <v>eval_93@auto.com</v>
      </c>
      <c r="O557" t="inlineStr">
        <is>
          <t>e22e1343f2144f2bbae7defbb0b521d4</t>
        </is>
      </c>
    </row>
    <row r="558" ht="25.5" customHeight="1">
      <c r="A558" t="inlineStr">
        <is>
          <t>Simple 2048</t>
        </is>
      </c>
      <c r="B558">
        <v>43</v>
      </c>
      <c r="C558" t="inlineStr">
        <is>
          <t>@陈佳杰</t>
        </is>
      </c>
      <c r="D558">
        <v>1</v>
      </c>
      <c r="E558"/>
      <c r="F558" t="inlineStr">
        <is>
          <t>@杨春玉</t>
        </is>
      </c>
      <c r="G558">
        <v>1</v>
      </c>
      <c r="H558"/>
      <c r="I558">
        <v>1</v>
      </c>
      <c r="J558" t="inlineStr">
        <is>
          <t>Check if current score is displayed correctly during gameplay</t>
        </is>
      </c>
      <c r="K558" t="inlineStr">
        <is>
          <t>检查游戏过程中当前分数展示正确</t>
        </is>
      </c>
      <c r="L558" s="2" t="str">
        <f>=HYPERLINK("http://pre.mgx.dev/chat/88db2e7088714cabba7139452cea19d7", "http://pre.mgx.dev/chat/88db2e7088714cabba7139452cea19d7")</f>
        <v>http://pre.mgx.dev/chat/88db2e7088714cabba7139452cea19d7</v>
      </c>
      <c r="M558" s="2" t="str">
        <f>=HYPERLINK("", "https://45754-88db2e7088714cabba7139452cea19d7-3-latest.app.beta.mgx.dev")</f>
        <v>https://45754-88db2e7088714cabba7139452cea19d7-3-latest.app.beta.mgx.dev</v>
      </c>
      <c r="N558" s="2" t="str">
        <f>=HYPERLINK("mailto:eval_44@auto.com", "eval_44@auto.com")</f>
        <v>eval_44@auto.com</v>
      </c>
      <c r="O558" t="inlineStr">
        <is>
          <t>88db2e7088714cabba7139452cea19d7</t>
        </is>
      </c>
    </row>
    <row r="559" ht="25.5" customHeight="1">
      <c r="A559" t="inlineStr">
        <is>
          <t>Simple 2048</t>
        </is>
      </c>
      <c r="B559">
        <v>43</v>
      </c>
      <c r="C559" t="inlineStr">
        <is>
          <t>@陈佳杰</t>
        </is>
      </c>
      <c r="D559">
        <v>1</v>
      </c>
      <c r="E559"/>
      <c r="F559" t="inlineStr">
        <is>
          <t>@杨春玉</t>
        </is>
      </c>
      <c r="G559">
        <v>1</v>
      </c>
      <c r="H559"/>
      <c r="I559">
        <v>2</v>
      </c>
      <c r="J559" t="inlineStr">
        <is>
          <t>Check if theme color switching function is available</t>
        </is>
      </c>
      <c r="K559" t="inlineStr">
        <is>
          <t>检查是否提供主题颜色切换功能</t>
        </is>
      </c>
      <c r="L559" s="2" t="str">
        <f>=HYPERLINK("http://pre.mgx.dev/chat/88db2e7088714cabba7139452cea19d7", "http://pre.mgx.dev/chat/88db2e7088714cabba7139452cea19d7")</f>
        <v>http://pre.mgx.dev/chat/88db2e7088714cabba7139452cea19d7</v>
      </c>
      <c r="M559" s="2" t="str">
        <f>=HYPERLINK("", "https://45754-88db2e7088714cabba7139452cea19d7-3-latest.app.beta.mgx.dev")</f>
        <v>https://45754-88db2e7088714cabba7139452cea19d7-3-latest.app.beta.mgx.dev</v>
      </c>
      <c r="N559" s="2" t="str">
        <f>=HYPERLINK("mailto:eval_44@auto.com", "eval_44@auto.com")</f>
        <v>eval_44@auto.com</v>
      </c>
      <c r="O559" t="inlineStr">
        <is>
          <t>88db2e7088714cabba7139452cea19d7</t>
        </is>
      </c>
    </row>
    <row r="560" ht="25.5" customHeight="1">
      <c r="A560" t="inlineStr">
        <is>
          <t>Simple 2048</t>
        </is>
      </c>
      <c r="B560">
        <v>43</v>
      </c>
      <c r="C560" t="inlineStr">
        <is>
          <t>@陈佳杰</t>
        </is>
      </c>
      <c r="D560">
        <v>1</v>
      </c>
      <c r="E560"/>
      <c r="F560" t="inlineStr">
        <is>
          <t>@杨春玉</t>
        </is>
      </c>
      <c r="G560">
        <v>1</v>
      </c>
      <c r="H560"/>
      <c r="I560">
        <v>3</v>
      </c>
      <c r="J560" t="inlineStr">
        <is>
          <t>Confirm all tiles and score are reset when game is reset</t>
        </is>
      </c>
      <c r="K560" t="inlineStr">
        <is>
          <t>确认重置游戏时所有方块和分数被重置</t>
        </is>
      </c>
      <c r="L560" s="2" t="str">
        <f>=HYPERLINK("http://pre.mgx.dev/chat/88db2e7088714cabba7139452cea19d7", "http://pre.mgx.dev/chat/88db2e7088714cabba7139452cea19d7")</f>
        <v>http://pre.mgx.dev/chat/88db2e7088714cabba7139452cea19d7</v>
      </c>
      <c r="M560" s="2" t="str">
        <f>=HYPERLINK("", "https://45754-88db2e7088714cabba7139452cea19d7-3-latest.app.beta.mgx.dev")</f>
        <v>https://45754-88db2e7088714cabba7139452cea19d7-3-latest.app.beta.mgx.dev</v>
      </c>
      <c r="N560" s="2" t="str">
        <f>=HYPERLINK("mailto:eval_44@auto.com", "eval_44@auto.com")</f>
        <v>eval_44@auto.com</v>
      </c>
      <c r="O560" t="inlineStr">
        <is>
          <t>88db2e7088714cabba7139452cea19d7</t>
        </is>
      </c>
    </row>
    <row r="561" ht="25.5" customHeight="1">
      <c r="A561" t="inlineStr">
        <is>
          <t>Simple 2048</t>
        </is>
      </c>
      <c r="B561">
        <v>43</v>
      </c>
      <c r="C561" t="inlineStr">
        <is>
          <t>@陈佳杰</t>
        </is>
      </c>
      <c r="D561">
        <v>0</v>
      </c>
      <c r="E561" t="inlineStr">
        <is>
          <t>无结束游戏提示</t>
        </is>
      </c>
      <c r="F561" t="inlineStr">
        <is>
          <t>@杨春玉</t>
        </is>
      </c>
      <c r="G561">
        <v>0</v>
      </c>
      <c r="H561" t="inlineStr">
        <is>
          <t>无可用移动步骤时未弹出游戏结束提示</t>
        </is>
      </c>
      <c r="I561">
        <v>4</v>
      </c>
      <c r="J561" t="inlineStr">
        <is>
          <t>Confirm end-of-game pop-up hint appears when no more moves are possible</t>
        </is>
      </c>
      <c r="K561" t="inlineStr">
        <is>
          <t>确认无可用移动步骤时弹出游戏结束提示</t>
        </is>
      </c>
      <c r="L561" s="2" t="str">
        <f>=HYPERLINK("http://pre.mgx.dev/chat/88db2e7088714cabba7139452cea19d7", "http://pre.mgx.dev/chat/88db2e7088714cabba7139452cea19d7")</f>
        <v>http://pre.mgx.dev/chat/88db2e7088714cabba7139452cea19d7</v>
      </c>
      <c r="M561" s="2" t="str">
        <f>=HYPERLINK("", "https://45754-88db2e7088714cabba7139452cea19d7-3-latest.app.beta.mgx.dev")</f>
        <v>https://45754-88db2e7088714cabba7139452cea19d7-3-latest.app.beta.mgx.dev</v>
      </c>
      <c r="N561" s="2" t="str">
        <f>=HYPERLINK("mailto:eval_44@auto.com", "eval_44@auto.com")</f>
        <v>eval_44@auto.com</v>
      </c>
      <c r="O561" t="inlineStr">
        <is>
          <t>88db2e7088714cabba7139452cea19d7</t>
        </is>
      </c>
    </row>
    <row r="562" ht="25.5" customHeight="1">
      <c r="A562" t="inlineStr">
        <is>
          <t>Simple 2048</t>
        </is>
      </c>
      <c r="B562">
        <v>43</v>
      </c>
      <c r="C562" t="inlineStr">
        <is>
          <t>@陈佳杰</t>
        </is>
      </c>
      <c r="D562">
        <v>1</v>
      </c>
      <c r="E562"/>
      <c r="F562" t="inlineStr">
        <is>
          <t>@杨春玉</t>
        </is>
      </c>
      <c r="G562">
        <v>1</v>
      </c>
      <c r="H562"/>
      <c r="I562">
        <v>5</v>
      </c>
      <c r="J562" t="inlineStr">
        <is>
          <t>Confirm highest historical score is displayed on the game interface</t>
        </is>
      </c>
      <c r="K562" t="inlineStr">
        <is>
          <t>确认游戏界面展示历史最高分数</t>
        </is>
      </c>
      <c r="L562" s="2" t="str">
        <f>=HYPERLINK("http://pre.mgx.dev/chat/88db2e7088714cabba7139452cea19d7", "http://pre.mgx.dev/chat/88db2e7088714cabba7139452cea19d7")</f>
        <v>http://pre.mgx.dev/chat/88db2e7088714cabba7139452cea19d7</v>
      </c>
      <c r="M562" s="2" t="str">
        <f>=HYPERLINK("", "https://45754-88db2e7088714cabba7139452cea19d7-3-latest.app.beta.mgx.dev")</f>
        <v>https://45754-88db2e7088714cabba7139452cea19d7-3-latest.app.beta.mgx.dev</v>
      </c>
      <c r="N562" s="2" t="str">
        <f>=HYPERLINK("mailto:eval_44@auto.com", "eval_44@auto.com")</f>
        <v>eval_44@auto.com</v>
      </c>
      <c r="O562" t="inlineStr">
        <is>
          <t>88db2e7088714cabba7139452cea19d7</t>
        </is>
      </c>
    </row>
    <row r="563" ht="25.5" customHeight="1">
      <c r="A563" t="inlineStr">
        <is>
          <t>Simple 2048</t>
        </is>
      </c>
      <c r="B563">
        <v>43</v>
      </c>
      <c r="C563" t="inlineStr">
        <is>
          <t>@陈佳杰</t>
        </is>
      </c>
      <c r="D563">
        <v>1</v>
      </c>
      <c r="E563"/>
      <c r="F563" t="inlineStr">
        <is>
          <t>@杨春玉</t>
        </is>
      </c>
      <c r="G563">
        <v>1</v>
      </c>
      <c r="H563"/>
      <c r="I563">
        <v>6</v>
      </c>
      <c r="J563" t="inlineStr">
        <is>
          <t>Ensure score is updated accurately as tiles merge</t>
        </is>
      </c>
      <c r="K563" t="inlineStr">
        <is>
          <t>确保方块合并时分数准确更新</t>
        </is>
      </c>
      <c r="L563" s="2" t="str">
        <f>=HYPERLINK("http://pre.mgx.dev/chat/88db2e7088714cabba7139452cea19d7", "http://pre.mgx.dev/chat/88db2e7088714cabba7139452cea19d7")</f>
        <v>http://pre.mgx.dev/chat/88db2e7088714cabba7139452cea19d7</v>
      </c>
      <c r="M563" s="2" t="str">
        <f>=HYPERLINK("", "https://45754-88db2e7088714cabba7139452cea19d7-3-latest.app.beta.mgx.dev")</f>
        <v>https://45754-88db2e7088714cabba7139452cea19d7-3-latest.app.beta.mgx.dev</v>
      </c>
      <c r="N563" s="2" t="str">
        <f>=HYPERLINK("mailto:eval_44@auto.com", "eval_44@auto.com")</f>
        <v>eval_44@auto.com</v>
      </c>
      <c r="O563" t="inlineStr">
        <is>
          <t>88db2e7088714cabba7139452cea19d7</t>
        </is>
      </c>
    </row>
    <row r="564" ht="25.5" customHeight="1">
      <c r="A564" t="inlineStr">
        <is>
          <t>Simple 2048</t>
        </is>
      </c>
      <c r="B564">
        <v>43</v>
      </c>
      <c r="C564" t="inlineStr">
        <is>
          <t>@陈佳杰</t>
        </is>
      </c>
      <c r="D564">
        <v>1</v>
      </c>
      <c r="E564"/>
      <c r="F564" t="inlineStr">
        <is>
          <t>@杨春玉</t>
        </is>
      </c>
      <c r="G564">
        <v>1</v>
      </c>
      <c r="H564"/>
      <c r="I564">
        <v>7</v>
      </c>
      <c r="J564" t="inlineStr">
        <is>
          <t>Test accessibility of operation explanation from main game screen</t>
        </is>
      </c>
      <c r="K564" t="inlineStr">
        <is>
          <t>测试从游戏主界面可访问操作说明</t>
        </is>
      </c>
      <c r="L564" s="2" t="str">
        <f>=HYPERLINK("http://pre.mgx.dev/chat/88db2e7088714cabba7139452cea19d7", "http://pre.mgx.dev/chat/88db2e7088714cabba7139452cea19d7")</f>
        <v>http://pre.mgx.dev/chat/88db2e7088714cabba7139452cea19d7</v>
      </c>
      <c r="M564" s="2" t="str">
        <f>=HYPERLINK("", "https://45754-88db2e7088714cabba7139452cea19d7-3-latest.app.beta.mgx.dev")</f>
        <v>https://45754-88db2e7088714cabba7139452cea19d7-3-latest.app.beta.mgx.dev</v>
      </c>
      <c r="N564" s="2" t="str">
        <f>=HYPERLINK("mailto:eval_44@auto.com", "eval_44@auto.com")</f>
        <v>eval_44@auto.com</v>
      </c>
      <c r="O564" t="inlineStr">
        <is>
          <t>88db2e7088714cabba7139452cea19d7</t>
        </is>
      </c>
    </row>
    <row r="565" ht="25.5" customHeight="1">
      <c r="A565" t="inlineStr">
        <is>
          <t>Simple 2048</t>
        </is>
      </c>
      <c r="B565">
        <v>43</v>
      </c>
      <c r="C565" t="inlineStr">
        <is>
          <t>@陈佳杰</t>
        </is>
      </c>
      <c r="D565">
        <v>1</v>
      </c>
      <c r="E565"/>
      <c r="F565" t="inlineStr">
        <is>
          <t>@杨春玉</t>
        </is>
      </c>
      <c r="G565">
        <v>1</v>
      </c>
      <c r="H565"/>
      <c r="I565">
        <v>8</v>
      </c>
      <c r="J565" t="inlineStr">
        <is>
          <t>Test if clicking reset button starts a new game</t>
        </is>
      </c>
      <c r="K565" t="inlineStr">
        <is>
          <t>测试点击重置按钮可开始新游戏</t>
        </is>
      </c>
      <c r="L565" s="2" t="str">
        <f>=HYPERLINK("http://pre.mgx.dev/chat/88db2e7088714cabba7139452cea19d7", "http://pre.mgx.dev/chat/88db2e7088714cabba7139452cea19d7")</f>
        <v>http://pre.mgx.dev/chat/88db2e7088714cabba7139452cea19d7</v>
      </c>
      <c r="M565" s="2" t="str">
        <f>=HYPERLINK("", "https://45754-88db2e7088714cabba7139452cea19d7-3-latest.app.beta.mgx.dev")</f>
        <v>https://45754-88db2e7088714cabba7139452cea19d7-3-latest.app.beta.mgx.dev</v>
      </c>
      <c r="N565" s="2" t="str">
        <f>=HYPERLINK("mailto:eval_44@auto.com", "eval_44@auto.com")</f>
        <v>eval_44@auto.com</v>
      </c>
      <c r="O565" t="inlineStr">
        <is>
          <t>88db2e7088714cabba7139452cea19d7</t>
        </is>
      </c>
    </row>
    <row r="566" ht="25.5" customHeight="1">
      <c r="A566" t="inlineStr">
        <is>
          <t>Simple 2048</t>
        </is>
      </c>
      <c r="B566">
        <v>43</v>
      </c>
      <c r="C566" t="inlineStr">
        <is>
          <t>@陈佳杰</t>
        </is>
      </c>
      <c r="D566">
        <v>0</v>
      </c>
      <c r="E566" t="inlineStr">
        <is>
          <t>无结束游戏弹窗</t>
        </is>
      </c>
      <c r="F566" t="inlineStr">
        <is>
          <t>@杨春玉</t>
        </is>
      </c>
      <c r="G566">
        <v>0</v>
      </c>
      <c r="H566" t="inlineStr">
        <is>
          <t>未弹出游戏结束提示</t>
        </is>
      </c>
      <c r="I566">
        <v>9</v>
      </c>
      <c r="J566" t="inlineStr">
        <is>
          <t>Test if end-of-game pop-up offers options to restart or exit the game</t>
        </is>
      </c>
      <c r="K566" t="inlineStr">
        <is>
          <t>测试游戏结束弹窗提供重新开始或退出游戏的选项</t>
        </is>
      </c>
      <c r="L566" s="2" t="str">
        <f>=HYPERLINK("http://pre.mgx.dev/chat/88db2e7088714cabba7139452cea19d7", "http://pre.mgx.dev/chat/88db2e7088714cabba7139452cea19d7")</f>
        <v>http://pre.mgx.dev/chat/88db2e7088714cabba7139452cea19d7</v>
      </c>
      <c r="M566" s="2" t="str">
        <f>=HYPERLINK("", "https://45754-88db2e7088714cabba7139452cea19d7-3-latest.app.beta.mgx.dev")</f>
        <v>https://45754-88db2e7088714cabba7139452cea19d7-3-latest.app.beta.mgx.dev</v>
      </c>
      <c r="N566" s="2" t="str">
        <f>=HYPERLINK("mailto:eval_44@auto.com", "eval_44@auto.com")</f>
        <v>eval_44@auto.com</v>
      </c>
      <c r="O566" t="inlineStr">
        <is>
          <t>88db2e7088714cabba7139452cea19d7</t>
        </is>
      </c>
    </row>
    <row r="567" ht="25.5" customHeight="1">
      <c r="A567" t="inlineStr">
        <is>
          <t>Simple 2048</t>
        </is>
      </c>
      <c r="B567">
        <v>43</v>
      </c>
      <c r="C567" t="inlineStr">
        <is>
          <t>@陈佳杰</t>
        </is>
      </c>
      <c r="D567">
        <v>1</v>
      </c>
      <c r="E567"/>
      <c r="F567" t="inlineStr">
        <is>
          <t>@杨春玉</t>
        </is>
      </c>
      <c r="G567">
        <v>0</v>
      </c>
      <c r="H567" t="inlineStr">
        <is>
          <t>未弹出游戏结束提示</t>
        </is>
      </c>
      <c r="I567">
        <v>10</v>
      </c>
      <c r="J567" t="inlineStr">
        <is>
          <t>Verify end-of-game pop-up displays final score</t>
        </is>
      </c>
      <c r="K567" t="inlineStr">
        <is>
          <t>验证游戏结束弹窗展示最终分数</t>
        </is>
      </c>
      <c r="L567" s="2" t="str">
        <f>=HYPERLINK("http://pre.mgx.dev/chat/88db2e7088714cabba7139452cea19d7", "http://pre.mgx.dev/chat/88db2e7088714cabba7139452cea19d7")</f>
        <v>http://pre.mgx.dev/chat/88db2e7088714cabba7139452cea19d7</v>
      </c>
      <c r="M567" s="2" t="str">
        <f>=HYPERLINK("", "https://45754-88db2e7088714cabba7139452cea19d7-3-latest.app.beta.mgx.dev")</f>
        <v>https://45754-88db2e7088714cabba7139452cea19d7-3-latest.app.beta.mgx.dev</v>
      </c>
      <c r="N567" s="2" t="str">
        <f>=HYPERLINK("mailto:eval_44@auto.com", "eval_44@auto.com")</f>
        <v>eval_44@auto.com</v>
      </c>
      <c r="O567" t="inlineStr">
        <is>
          <t>88db2e7088714cabba7139452cea19d7</t>
        </is>
      </c>
    </row>
    <row r="568" ht="25.5" customHeight="1">
      <c r="A568" t="inlineStr">
        <is>
          <t>Simple 2048</t>
        </is>
      </c>
      <c r="B568">
        <v>43</v>
      </c>
      <c r="C568" t="inlineStr">
        <is>
          <t>@陈佳杰</t>
        </is>
      </c>
      <c r="D568">
        <v>1</v>
      </c>
      <c r="E568"/>
      <c r="F568" t="inlineStr">
        <is>
          <t>@杨春玉</t>
        </is>
      </c>
      <c r="G568">
        <v>1</v>
      </c>
      <c r="H568"/>
      <c r="I568">
        <v>11</v>
      </c>
      <c r="J568" t="inlineStr">
        <is>
          <t>Verify game reset button is visible on the interface</t>
        </is>
      </c>
      <c r="K568" t="inlineStr">
        <is>
          <t>验证游戏界面上可见重置按钮</t>
        </is>
      </c>
      <c r="L568" s="2" t="str">
        <f>=HYPERLINK("http://pre.mgx.dev/chat/88db2e7088714cabba7139452cea19d7", "http://pre.mgx.dev/chat/88db2e7088714cabba7139452cea19d7")</f>
        <v>http://pre.mgx.dev/chat/88db2e7088714cabba7139452cea19d7</v>
      </c>
      <c r="M568" s="2" t="str">
        <f>=HYPERLINK("", "https://45754-88db2e7088714cabba7139452cea19d7-3-latest.app.beta.mgx.dev")</f>
        <v>https://45754-88db2e7088714cabba7139452cea19d7-3-latest.app.beta.mgx.dev</v>
      </c>
      <c r="N568" s="2" t="str">
        <f>=HYPERLINK("mailto:eval_44@auto.com", "eval_44@auto.com")</f>
        <v>eval_44@auto.com</v>
      </c>
      <c r="O568" t="inlineStr">
        <is>
          <t>88db2e7088714cabba7139452cea19d7</t>
        </is>
      </c>
    </row>
    <row r="569" ht="25.5" customHeight="1">
      <c r="A569" t="inlineStr">
        <is>
          <t>Simple 2048</t>
        </is>
      </c>
      <c r="B569">
        <v>43</v>
      </c>
      <c r="C569" t="inlineStr">
        <is>
          <t>@陈佳杰</t>
        </is>
      </c>
      <c r="D569">
        <v>1</v>
      </c>
      <c r="E569"/>
      <c r="F569" t="inlineStr">
        <is>
          <t>@杨春玉</t>
        </is>
      </c>
      <c r="G569">
        <v>1</v>
      </c>
      <c r="H569"/>
      <c r="I569">
        <v>12</v>
      </c>
      <c r="J569" t="inlineStr">
        <is>
          <t>Verify highest score updates when a new high score is achieved</t>
        </is>
      </c>
      <c r="K569" t="inlineStr">
        <is>
          <t>验证刷新历史最高分数时展示新的最高分</t>
        </is>
      </c>
      <c r="L569" s="2" t="str">
        <f>=HYPERLINK("http://pre.mgx.dev/chat/88db2e7088714cabba7139452cea19d7", "http://pre.mgx.dev/chat/88db2e7088714cabba7139452cea19d7")</f>
        <v>http://pre.mgx.dev/chat/88db2e7088714cabba7139452cea19d7</v>
      </c>
      <c r="M569" s="2" t="str">
        <f>=HYPERLINK("", "https://45754-88db2e7088714cabba7139452cea19d7-3-latest.app.beta.mgx.dev")</f>
        <v>https://45754-88db2e7088714cabba7139452cea19d7-3-latest.app.beta.mgx.dev</v>
      </c>
      <c r="N569" s="2" t="str">
        <f>=HYPERLINK("mailto:eval_44@auto.com", "eval_44@auto.com")</f>
        <v>eval_44@auto.com</v>
      </c>
      <c r="O569" t="inlineStr">
        <is>
          <t>88db2e7088714cabba7139452cea19d7</t>
        </is>
      </c>
    </row>
    <row r="570" ht="25.5" customHeight="1">
      <c r="A570" t="inlineStr">
        <is>
          <t>Simple 2048</t>
        </is>
      </c>
      <c r="B570">
        <v>43</v>
      </c>
      <c r="C570" t="inlineStr">
        <is>
          <t>@陈佳杰</t>
        </is>
      </c>
      <c r="D570">
        <v>1</v>
      </c>
      <c r="E570"/>
      <c r="F570" t="inlineStr">
        <is>
          <t>@杨春玉</t>
        </is>
      </c>
      <c r="G570">
        <v>1</v>
      </c>
      <c r="H570"/>
      <c r="I570">
        <v>13</v>
      </c>
      <c r="J570" t="inlineStr">
        <is>
          <t>Verify local score recording function is present</t>
        </is>
      </c>
      <c r="K570" t="inlineStr">
        <is>
          <t>验证存在本地分数记录功能</t>
        </is>
      </c>
      <c r="L570" s="2" t="str">
        <f>=HYPERLINK("http://pre.mgx.dev/chat/88db2e7088714cabba7139452cea19d7", "http://pre.mgx.dev/chat/88db2e7088714cabba7139452cea19d7")</f>
        <v>http://pre.mgx.dev/chat/88db2e7088714cabba7139452cea19d7</v>
      </c>
      <c r="M570" s="2" t="str">
        <f>=HYPERLINK("", "https://45754-88db2e7088714cabba7139452cea19d7-3-latest.app.beta.mgx.dev")</f>
        <v>https://45754-88db2e7088714cabba7139452cea19d7-3-latest.app.beta.mgx.dev</v>
      </c>
      <c r="N570" s="2" t="str">
        <f>=HYPERLINK("mailto:eval_44@auto.com", "eval_44@auto.com")</f>
        <v>eval_44@auto.com</v>
      </c>
      <c r="O570" t="inlineStr">
        <is>
          <t>88db2e7088714cabba7139452cea19d7</t>
        </is>
      </c>
    </row>
    <row r="571" ht="25.5" customHeight="1">
      <c r="A571" t="inlineStr">
        <is>
          <t>Simple 2048</t>
        </is>
      </c>
      <c r="B571">
        <v>43</v>
      </c>
      <c r="C571" t="inlineStr">
        <is>
          <t>@陈佳杰</t>
        </is>
      </c>
      <c r="D571">
        <v>1</v>
      </c>
      <c r="E571"/>
      <c r="F571" t="inlineStr">
        <is>
          <t>@杨春玉</t>
        </is>
      </c>
      <c r="G571">
        <v>1</v>
      </c>
      <c r="H571"/>
      <c r="I571">
        <v>14</v>
      </c>
      <c r="J571" t="inlineStr">
        <is>
          <t>Verify presence of an interface explaining game operations</t>
        </is>
      </c>
      <c r="K571" t="inlineStr">
        <is>
          <t>验证存在游戏操作说明界面</t>
        </is>
      </c>
      <c r="L571" s="2" t="str">
        <f>=HYPERLINK("http://pre.mgx.dev/chat/88db2e7088714cabba7139452cea19d7", "http://pre.mgx.dev/chat/88db2e7088714cabba7139452cea19d7")</f>
        <v>http://pre.mgx.dev/chat/88db2e7088714cabba7139452cea19d7</v>
      </c>
      <c r="M571" s="2" t="str">
        <f>=HYPERLINK("", "https://45754-88db2e7088714cabba7139452cea19d7-3-latest.app.beta.mgx.dev")</f>
        <v>https://45754-88db2e7088714cabba7139452cea19d7-3-latest.app.beta.mgx.dev</v>
      </c>
      <c r="N571" s="2" t="str">
        <f>=HYPERLINK("mailto:eval_44@auto.com", "eval_44@auto.com")</f>
        <v>eval_44@auto.com</v>
      </c>
      <c r="O571" t="inlineStr">
        <is>
          <t>88db2e7088714cabba7139452cea19d7</t>
        </is>
      </c>
    </row>
    <row r="572" ht="25.5" customHeight="1">
      <c r="A572" t="inlineStr">
        <is>
          <t>Simple Image Resizer</t>
        </is>
      </c>
      <c r="B572">
        <v>44</v>
      </c>
      <c r="C572" t="inlineStr">
        <is>
          <t>@陈佳杰</t>
        </is>
      </c>
      <c r="D572">
        <v>1</v>
      </c>
      <c r="E572"/>
      <c r="F572" t="inlineStr">
        <is>
          <t>@杨春玉</t>
        </is>
      </c>
      <c r="G572">
        <v>1</v>
      </c>
      <c r="H572"/>
      <c r="I572">
        <v>1</v>
      </c>
      <c r="J572" t="inlineStr">
        <is>
          <t>Test if height input field accepts numeric values</t>
        </is>
      </c>
      <c r="K572" t="inlineStr">
        <is>
          <t>测试高度输入框可接收数字值</t>
        </is>
      </c>
      <c r="L572" s="2" t="str">
        <f>=HYPERLINK("http://pre.mgx.dev/chat/8304465066d546889042f1aace42d9f5", "http://pre.mgx.dev/chat/8304465066d546889042f1aace42d9f5")</f>
        <v>http://pre.mgx.dev/chat/8304465066d546889042f1aace42d9f5</v>
      </c>
      <c r="M572" s="2" t="str">
        <f>=HYPERLINK("", "https://45763-8304465066d546889042f1aace42d9f5-3-latest.app.beta.mgx.dev")</f>
        <v>https://45763-8304465066d546889042f1aace42d9f5-3-latest.app.beta.mgx.dev</v>
      </c>
      <c r="N572" s="2" t="str">
        <f>=HYPERLINK("mailto:eval_53@auto.com", "eval_53@auto.com")</f>
        <v>eval_53@auto.com</v>
      </c>
      <c r="O572" t="inlineStr">
        <is>
          <t>8304465066d546889042f1aace42d9f5</t>
        </is>
      </c>
    </row>
    <row r="573" ht="25.5" customHeight="1">
      <c r="A573" t="inlineStr">
        <is>
          <t>Simple Image Resizer</t>
        </is>
      </c>
      <c r="B573">
        <v>44</v>
      </c>
      <c r="C573" t="inlineStr">
        <is>
          <t>@陈佳杰</t>
        </is>
      </c>
      <c r="D573">
        <v>1</v>
      </c>
      <c r="E573"/>
      <c r="F573" t="inlineStr">
        <is>
          <t>@杨春玉</t>
        </is>
      </c>
      <c r="G573">
        <v>1</v>
      </c>
      <c r="H573"/>
      <c r="I573">
        <v>2</v>
      </c>
      <c r="J573" t="inlineStr">
        <is>
          <t>Test if height input field rejects non-numeric values</t>
        </is>
      </c>
      <c r="K573" t="inlineStr">
        <is>
          <t>测试高度输入框拒绝非数字值</t>
        </is>
      </c>
      <c r="L573" s="2" t="str">
        <f>=HYPERLINK("http://pre.mgx.dev/chat/8304465066d546889042f1aace42d9f5", "http://pre.mgx.dev/chat/8304465066d546889042f1aace42d9f5")</f>
        <v>http://pre.mgx.dev/chat/8304465066d546889042f1aace42d9f5</v>
      </c>
      <c r="M573" s="2" t="str">
        <f>=HYPERLINK("", "https://45763-8304465066d546889042f1aace42d9f5-3-latest.app.beta.mgx.dev")</f>
        <v>https://45763-8304465066d546889042f1aace42d9f5-3-latest.app.beta.mgx.dev</v>
      </c>
      <c r="N573" s="2" t="str">
        <f>=HYPERLINK("mailto:eval_53@auto.com", "eval_53@auto.com")</f>
        <v>eval_53@auto.com</v>
      </c>
      <c r="O573" t="inlineStr">
        <is>
          <t>8304465066d546889042f1aace42d9f5</t>
        </is>
      </c>
    </row>
    <row r="574" ht="25.5" customHeight="1">
      <c r="A574" t="inlineStr">
        <is>
          <t>Simple Image Resizer</t>
        </is>
      </c>
      <c r="B574">
        <v>44</v>
      </c>
      <c r="C574" t="inlineStr">
        <is>
          <t>@陈佳杰</t>
        </is>
      </c>
      <c r="D574">
        <v>1</v>
      </c>
      <c r="E574"/>
      <c r="F574" t="inlineStr">
        <is>
          <t>@杨春玉</t>
        </is>
      </c>
      <c r="G574">
        <v>1</v>
      </c>
      <c r="H574"/>
      <c r="I574">
        <v>3</v>
      </c>
      <c r="J574" t="inlineStr">
        <is>
          <t>Test if the image resizer interface is accessible and loads properly</t>
        </is>
      </c>
      <c r="K574" t="inlineStr">
        <is>
          <t>测试图片调整器界面可访问且加载正常</t>
        </is>
      </c>
      <c r="L574" s="2" t="str">
        <f>=HYPERLINK("http://pre.mgx.dev/chat/8304465066d546889042f1aace42d9f5", "http://pre.mgx.dev/chat/8304465066d546889042f1aace42d9f5")</f>
        <v>http://pre.mgx.dev/chat/8304465066d546889042f1aace42d9f5</v>
      </c>
      <c r="M574" s="2" t="str">
        <f>=HYPERLINK("", "https://45763-8304465066d546889042f1aace42d9f5-3-latest.app.beta.mgx.dev")</f>
        <v>https://45763-8304465066d546889042f1aace42d9f5-3-latest.app.beta.mgx.dev</v>
      </c>
      <c r="N574" s="2" t="str">
        <f>=HYPERLINK("mailto:eval_53@auto.com", "eval_53@auto.com")</f>
        <v>eval_53@auto.com</v>
      </c>
      <c r="O574" t="inlineStr">
        <is>
          <t>8304465066d546889042f1aace42d9f5</t>
        </is>
      </c>
    </row>
    <row r="575" ht="25.5" customHeight="1">
      <c r="A575" t="inlineStr">
        <is>
          <t>Simple Image Resizer</t>
        </is>
      </c>
      <c r="B575">
        <v>44</v>
      </c>
      <c r="C575" t="inlineStr">
        <is>
          <t>@陈佳杰</t>
        </is>
      </c>
      <c r="D575">
        <v>1</v>
      </c>
      <c r="E575"/>
      <c r="F575" t="inlineStr">
        <is>
          <t>@杨春玉</t>
        </is>
      </c>
      <c r="G575">
        <v>1</v>
      </c>
      <c r="H575"/>
      <c r="I575">
        <v>4</v>
      </c>
      <c r="J575" t="inlineStr">
        <is>
          <t>Test if the resized image maintains aspect ratio when specified</t>
        </is>
      </c>
      <c r="K575" t="inlineStr">
        <is>
          <t>测试按指定要求调整图片尺寸时保持宽高比</t>
        </is>
      </c>
      <c r="L575" s="2" t="str">
        <f>=HYPERLINK("http://pre.mgx.dev/chat/8304465066d546889042f1aace42d9f5", "http://pre.mgx.dev/chat/8304465066d546889042f1aace42d9f5")</f>
        <v>http://pre.mgx.dev/chat/8304465066d546889042f1aace42d9f5</v>
      </c>
      <c r="M575" s="2" t="str">
        <f>=HYPERLINK("", "https://45763-8304465066d546889042f1aace42d9f5-3-latest.app.beta.mgx.dev")</f>
        <v>https://45763-8304465066d546889042f1aace42d9f5-3-latest.app.beta.mgx.dev</v>
      </c>
      <c r="N575" s="2" t="str">
        <f>=HYPERLINK("mailto:eval_53@auto.com", "eval_53@auto.com")</f>
        <v>eval_53@auto.com</v>
      </c>
      <c r="O575" t="inlineStr">
        <is>
          <t>8304465066d546889042f1aace42d9f5</t>
        </is>
      </c>
    </row>
    <row r="576" ht="25.5" customHeight="1">
      <c r="A576" t="inlineStr">
        <is>
          <t>Simple Image Resizer</t>
        </is>
      </c>
      <c r="B576">
        <v>44</v>
      </c>
      <c r="C576" t="inlineStr">
        <is>
          <t>@陈佳杰</t>
        </is>
      </c>
      <c r="D576">
        <v>1</v>
      </c>
      <c r="E576"/>
      <c r="F576" t="inlineStr">
        <is>
          <t>@杨春玉</t>
        </is>
      </c>
      <c r="G576">
        <v>1</v>
      </c>
      <c r="H576"/>
      <c r="I576">
        <v>5</v>
      </c>
      <c r="J576" t="inlineStr">
        <is>
          <t>Test if width input field accepts numeric values</t>
        </is>
      </c>
      <c r="K576" t="inlineStr">
        <is>
          <t>测试宽度输入框可接收数字值</t>
        </is>
      </c>
      <c r="L576" s="2" t="str">
        <f>=HYPERLINK("http://pre.mgx.dev/chat/8304465066d546889042f1aace42d9f5", "http://pre.mgx.dev/chat/8304465066d546889042f1aace42d9f5")</f>
        <v>http://pre.mgx.dev/chat/8304465066d546889042f1aace42d9f5</v>
      </c>
      <c r="M576" s="2" t="str">
        <f>=HYPERLINK("", "https://45763-8304465066d546889042f1aace42d9f5-3-latest.app.beta.mgx.dev")</f>
        <v>https://45763-8304465066d546889042f1aace42d9f5-3-latest.app.beta.mgx.dev</v>
      </c>
      <c r="N576" s="2" t="str">
        <f>=HYPERLINK("mailto:eval_53@auto.com", "eval_53@auto.com")</f>
        <v>eval_53@auto.com</v>
      </c>
      <c r="O576" t="inlineStr">
        <is>
          <t>8304465066d546889042f1aace42d9f5</t>
        </is>
      </c>
    </row>
    <row r="577" ht="25.5" customHeight="1">
      <c r="A577" t="inlineStr">
        <is>
          <t>Simple Image Resizer</t>
        </is>
      </c>
      <c r="B577">
        <v>44</v>
      </c>
      <c r="C577" t="inlineStr">
        <is>
          <t>@陈佳杰</t>
        </is>
      </c>
      <c r="D577">
        <v>1</v>
      </c>
      <c r="E577"/>
      <c r="F577" t="inlineStr">
        <is>
          <t>@杨春玉</t>
        </is>
      </c>
      <c r="G577">
        <v>1</v>
      </c>
      <c r="H577"/>
      <c r="I577">
        <v>6</v>
      </c>
      <c r="J577" t="inlineStr">
        <is>
          <t>Test if width input field rejects non-numeric values</t>
        </is>
      </c>
      <c r="K577" t="inlineStr">
        <is>
          <t>测试宽度输入框拒绝非数字值</t>
        </is>
      </c>
      <c r="L577" s="2" t="str">
        <f>=HYPERLINK("http://pre.mgx.dev/chat/8304465066d546889042f1aace42d9f5", "http://pre.mgx.dev/chat/8304465066d546889042f1aace42d9f5")</f>
        <v>http://pre.mgx.dev/chat/8304465066d546889042f1aace42d9f5</v>
      </c>
      <c r="M577" s="2" t="str">
        <f>=HYPERLINK("", "https://45763-8304465066d546889042f1aace42d9f5-3-latest.app.beta.mgx.dev")</f>
        <v>https://45763-8304465066d546889042f1aace42d9f5-3-latest.app.beta.mgx.dev</v>
      </c>
      <c r="N577" s="2" t="str">
        <f>=HYPERLINK("mailto:eval_53@auto.com", "eval_53@auto.com")</f>
        <v>eval_53@auto.com</v>
      </c>
      <c r="O577" t="inlineStr">
        <is>
          <t>8304465066d546889042f1aace42d9f5</t>
        </is>
      </c>
    </row>
    <row r="578" ht="25.5" customHeight="1">
      <c r="A578" t="inlineStr">
        <is>
          <t>Simple Image Resizer</t>
        </is>
      </c>
      <c r="B578">
        <v>44</v>
      </c>
      <c r="C578" t="inlineStr">
        <is>
          <t>@陈佳杰</t>
        </is>
      </c>
      <c r="D578">
        <v>1</v>
      </c>
      <c r="E578"/>
      <c r="F578" t="inlineStr">
        <is>
          <t>@杨春玉</t>
        </is>
      </c>
      <c r="G578">
        <v>1</v>
      </c>
      <c r="H578"/>
      <c r="I578">
        <v>7</v>
      </c>
      <c r="J578" t="inlineStr">
        <is>
          <t>Test resizing an image to dimensions larger than the original</t>
        </is>
      </c>
      <c r="K578" t="inlineStr">
        <is>
          <t>测试将图片调整至大于原尺寸的尺寸</t>
        </is>
      </c>
      <c r="L578" s="2" t="str">
        <f>=HYPERLINK("http://pre.mgx.dev/chat/8304465066d546889042f1aace42d9f5", "http://pre.mgx.dev/chat/8304465066d546889042f1aace42d9f5")</f>
        <v>http://pre.mgx.dev/chat/8304465066d546889042f1aace42d9f5</v>
      </c>
      <c r="M578" s="2" t="str">
        <f>=HYPERLINK("", "https://45763-8304465066d546889042f1aace42d9f5-3-latest.app.beta.mgx.dev")</f>
        <v>https://45763-8304465066d546889042f1aace42d9f5-3-latest.app.beta.mgx.dev</v>
      </c>
      <c r="N578" s="2" t="str">
        <f>=HYPERLINK("mailto:eval_53@auto.com", "eval_53@auto.com")</f>
        <v>eval_53@auto.com</v>
      </c>
      <c r="O578" t="inlineStr">
        <is>
          <t>8304465066d546889042f1aace42d9f5</t>
        </is>
      </c>
    </row>
    <row r="579" ht="25.5" customHeight="1">
      <c r="A579" t="inlineStr">
        <is>
          <t>Simple Image Resizer</t>
        </is>
      </c>
      <c r="B579">
        <v>44</v>
      </c>
      <c r="C579" t="inlineStr">
        <is>
          <t>@陈佳杰</t>
        </is>
      </c>
      <c r="D579">
        <v>1</v>
      </c>
      <c r="E579"/>
      <c r="F579" t="inlineStr">
        <is>
          <t>@杨春玉</t>
        </is>
      </c>
      <c r="G579">
        <v>1</v>
      </c>
      <c r="H579"/>
      <c r="I579">
        <v>8</v>
      </c>
      <c r="J579" t="inlineStr">
        <is>
          <t>Test resizing image with valid width and height values</t>
        </is>
      </c>
      <c r="K579" t="inlineStr">
        <is>
          <t>测试使用有效的宽度和高度值调整图片尺寸</t>
        </is>
      </c>
      <c r="L579" s="2" t="str">
        <f>=HYPERLINK("http://pre.mgx.dev/chat/8304465066d546889042f1aace42d9f5", "http://pre.mgx.dev/chat/8304465066d546889042f1aace42d9f5")</f>
        <v>http://pre.mgx.dev/chat/8304465066d546889042f1aace42d9f5</v>
      </c>
      <c r="M579" s="2" t="str">
        <f>=HYPERLINK("", "https://45763-8304465066d546889042f1aace42d9f5-3-latest.app.beta.mgx.dev")</f>
        <v>https://45763-8304465066d546889042f1aace42d9f5-3-latest.app.beta.mgx.dev</v>
      </c>
      <c r="N579" s="2" t="str">
        <f>=HYPERLINK("mailto:eval_53@auto.com", "eval_53@auto.com")</f>
        <v>eval_53@auto.com</v>
      </c>
      <c r="O579" t="inlineStr">
        <is>
          <t>8304465066d546889042f1aace42d9f5</t>
        </is>
      </c>
    </row>
    <row r="580" ht="25.5" customHeight="1">
      <c r="A580" t="inlineStr">
        <is>
          <t>Simple Image Resizer</t>
        </is>
      </c>
      <c r="B580">
        <v>44</v>
      </c>
      <c r="C580" t="inlineStr">
        <is>
          <t>@陈佳杰</t>
        </is>
      </c>
      <c r="D580">
        <v>0</v>
      </c>
      <c r="E580" t="inlineStr">
        <is>
          <t>无法连续调整</t>
        </is>
      </c>
      <c r="F580" t="inlineStr">
        <is>
          <t>@杨春玉</t>
        </is>
      </c>
      <c r="G580">
        <v>1</v>
      </c>
      <c r="H580"/>
      <c r="I580">
        <v>9</v>
      </c>
      <c r="J580" t="inlineStr">
        <is>
          <t>Test resizing multiple images consecutively</t>
        </is>
      </c>
      <c r="K580" t="inlineStr">
        <is>
          <t>测试连续调整多张图片的尺寸</t>
        </is>
      </c>
      <c r="L580" s="2" t="str">
        <f>=HYPERLINK("http://pre.mgx.dev/chat/8304465066d546889042f1aace42d9f5", "http://pre.mgx.dev/chat/8304465066d546889042f1aace42d9f5")</f>
        <v>http://pre.mgx.dev/chat/8304465066d546889042f1aace42d9f5</v>
      </c>
      <c r="M580" s="2" t="str">
        <f>=HYPERLINK("", "https://45763-8304465066d546889042f1aace42d9f5-3-latest.app.beta.mgx.dev")</f>
        <v>https://45763-8304465066d546889042f1aace42d9f5-3-latest.app.beta.mgx.dev</v>
      </c>
      <c r="N580" s="2" t="str">
        <f>=HYPERLINK("mailto:eval_53@auto.com", "eval_53@auto.com")</f>
        <v>eval_53@auto.com</v>
      </c>
      <c r="O580" t="inlineStr">
        <is>
          <t>8304465066d546889042f1aace42d9f5</t>
        </is>
      </c>
    </row>
    <row r="581" ht="25.5" customHeight="1">
      <c r="A581" t="inlineStr">
        <is>
          <t>Simple Image Resizer</t>
        </is>
      </c>
      <c r="B581">
        <v>44</v>
      </c>
      <c r="C581" t="inlineStr">
        <is>
          <t>@陈佳杰</t>
        </is>
      </c>
      <c r="D581">
        <v>0</v>
      </c>
      <c r="E581" t="inlineStr">
        <is>
          <t>上传按键无法交互，仅能拖动拉入</t>
        </is>
      </c>
      <c r="F581" t="inlineStr">
        <is>
          <t>@杨春玉</t>
        </is>
      </c>
      <c r="G581">
        <v>1</v>
      </c>
      <c r="H581"/>
      <c r="I581">
        <v>10</v>
      </c>
      <c r="J581" t="inlineStr">
        <is>
          <t>Test uploading a valid image file (jpg/png/jpeg format)</t>
        </is>
      </c>
      <c r="K581" t="inlineStr">
        <is>
          <t>测试上传有效的图片文件（jpg/png/jpeg格式）</t>
        </is>
      </c>
      <c r="L581" s="2" t="str">
        <f>=HYPERLINK("http://pre.mgx.dev/chat/8304465066d546889042f1aace42d9f5", "http://pre.mgx.dev/chat/8304465066d546889042f1aace42d9f5")</f>
        <v>http://pre.mgx.dev/chat/8304465066d546889042f1aace42d9f5</v>
      </c>
      <c r="M581" s="2" t="str">
        <f>=HYPERLINK("", "https://45763-8304465066d546889042f1aace42d9f5-3-latest.app.beta.mgx.dev")</f>
        <v>https://45763-8304465066d546889042f1aace42d9f5-3-latest.app.beta.mgx.dev</v>
      </c>
      <c r="N581" s="2" t="str">
        <f>=HYPERLINK("mailto:eval_53@auto.com", "eval_53@auto.com")</f>
        <v>eval_53@auto.com</v>
      </c>
      <c r="O581" t="inlineStr">
        <is>
          <t>8304465066d546889042f1aace42d9f5</t>
        </is>
      </c>
    </row>
    <row r="582" ht="25.5" customHeight="1">
      <c r="A582" t="inlineStr">
        <is>
          <t>Simple Image Resizer</t>
        </is>
      </c>
      <c r="B582">
        <v>44</v>
      </c>
      <c r="C582" t="inlineStr">
        <is>
          <t>@陈佳杰</t>
        </is>
      </c>
      <c r="D582">
        <v>1</v>
      </c>
      <c r="E582"/>
      <c r="F582" t="inlineStr">
        <is>
          <t>@杨春玉</t>
        </is>
      </c>
      <c r="G582">
        <v>1</v>
      </c>
      <c r="H582"/>
      <c r="I582">
        <v>11</v>
      </c>
      <c r="J582" t="inlineStr">
        <is>
          <t>Verify that the 'Resize' button is clickable and functional</t>
        </is>
      </c>
      <c r="K582" t="inlineStr">
        <is>
          <t>验证“调整尺寸”按钮可点击且功能正常</t>
        </is>
      </c>
      <c r="L582" s="2" t="str">
        <f>=HYPERLINK("http://pre.mgx.dev/chat/8304465066d546889042f1aace42d9f5", "http://pre.mgx.dev/chat/8304465066d546889042f1aace42d9f5")</f>
        <v>http://pre.mgx.dev/chat/8304465066d546889042f1aace42d9f5</v>
      </c>
      <c r="M582" s="2" t="str">
        <f>=HYPERLINK("", "https://45763-8304465066d546889042f1aace42d9f5-3-latest.app.beta.mgx.dev")</f>
        <v>https://45763-8304465066d546889042f1aace42d9f5-3-latest.app.beta.mgx.dev</v>
      </c>
      <c r="N582" s="2" t="str">
        <f>=HYPERLINK("mailto:eval_53@auto.com", "eval_53@auto.com")</f>
        <v>eval_53@auto.com</v>
      </c>
      <c r="O582" t="inlineStr">
        <is>
          <t>8304465066d546889042f1aace42d9f5</t>
        </is>
      </c>
    </row>
    <row r="583" ht="25.5" customHeight="1">
      <c r="A583" t="inlineStr">
        <is>
          <t>Simple Image Resizer</t>
        </is>
      </c>
      <c r="B583">
        <v>44</v>
      </c>
      <c r="C583" t="inlineStr">
        <is>
          <t>@陈佳杰</t>
        </is>
      </c>
      <c r="D583">
        <v>0</v>
      </c>
      <c r="E583" t="inlineStr">
        <is>
          <t>上传按键无法交互，仅能拖动拉入</t>
        </is>
      </c>
      <c r="F583" t="inlineStr">
        <is>
          <t>@杨春玉</t>
        </is>
      </c>
      <c r="G583">
        <v>0</v>
      </c>
      <c r="H583" t="inlineStr">
        <is>
          <t>上传按钮无效，只能拖动图片</t>
        </is>
      </c>
      <c r="I583">
        <v>12</v>
      </c>
      <c r="J583" t="inlineStr">
        <is>
          <t>Verify that the 'Select Image' button is functional and opens a file dialog</t>
        </is>
      </c>
      <c r="K583" t="inlineStr">
        <is>
          <t>验证“选择图片”按钮功能正常且可打开文件选择对话框</t>
        </is>
      </c>
      <c r="L583" s="2" t="str">
        <f>=HYPERLINK("http://pre.mgx.dev/chat/8304465066d546889042f1aace42d9f5", "http://pre.mgx.dev/chat/8304465066d546889042f1aace42d9f5")</f>
        <v>http://pre.mgx.dev/chat/8304465066d546889042f1aace42d9f5</v>
      </c>
      <c r="M583" s="2" t="str">
        <f>=HYPERLINK("", "https://45763-8304465066d546889042f1aace42d9f5-3-latest.app.beta.mgx.dev")</f>
        <v>https://45763-8304465066d546889042f1aace42d9f5-3-latest.app.beta.mgx.dev</v>
      </c>
      <c r="N583" s="2" t="str">
        <f>=HYPERLINK("mailto:eval_53@auto.com", "eval_53@auto.com")</f>
        <v>eval_53@auto.com</v>
      </c>
      <c r="O583" t="inlineStr">
        <is>
          <t>8304465066d546889042f1aace42d9f5</t>
        </is>
      </c>
    </row>
    <row r="584" ht="25.5" customHeight="1">
      <c r="A584" t="inlineStr">
        <is>
          <t>Simple Image Resizer</t>
        </is>
      </c>
      <c r="B584">
        <v>44</v>
      </c>
      <c r="C584" t="inlineStr">
        <is>
          <t>@陈佳杰</t>
        </is>
      </c>
      <c r="D584">
        <v>1</v>
      </c>
      <c r="E584"/>
      <c r="F584" t="inlineStr">
        <is>
          <t>@杨春玉</t>
        </is>
      </c>
      <c r="G584">
        <v>1</v>
      </c>
      <c r="H584"/>
      <c r="I584">
        <v>13</v>
      </c>
      <c r="J584" t="inlineStr">
        <is>
          <t>Verify that the resized image can be downloaded/saved</t>
        </is>
      </c>
      <c r="K584" t="inlineStr">
        <is>
          <t>验证调整尺寸后的图片可下载/保存</t>
        </is>
      </c>
      <c r="L584" s="2" t="str">
        <f>=HYPERLINK("http://pre.mgx.dev/chat/8304465066d546889042f1aace42d9f5", "http://pre.mgx.dev/chat/8304465066d546889042f1aace42d9f5")</f>
        <v>http://pre.mgx.dev/chat/8304465066d546889042f1aace42d9f5</v>
      </c>
      <c r="M584" s="2" t="str">
        <f>=HYPERLINK("", "https://45763-8304465066d546889042f1aace42d9f5-3-latest.app.beta.mgx.dev")</f>
        <v>https://45763-8304465066d546889042f1aace42d9f5-3-latest.app.beta.mgx.dev</v>
      </c>
      <c r="N584" s="2" t="str">
        <f>=HYPERLINK("mailto:eval_53@auto.com", "eval_53@auto.com")</f>
        <v>eval_53@auto.com</v>
      </c>
      <c r="O584" t="inlineStr">
        <is>
          <t>8304465066d546889042f1aace42d9f5</t>
        </is>
      </c>
    </row>
    <row r="585" ht="25.5" customHeight="1">
      <c r="A585" t="inlineStr">
        <is>
          <t>Simple Image Resizer</t>
        </is>
      </c>
      <c r="B585">
        <v>44</v>
      </c>
      <c r="C585" t="inlineStr">
        <is>
          <t>@陈佳杰</t>
        </is>
      </c>
      <c r="D585">
        <v>1</v>
      </c>
      <c r="E585"/>
      <c r="F585" t="inlineStr">
        <is>
          <t>@杨春玉</t>
        </is>
      </c>
      <c r="G585">
        <v>1</v>
      </c>
      <c r="H585"/>
      <c r="I585">
        <v>14</v>
      </c>
      <c r="J585" t="inlineStr">
        <is>
          <t>Verify that the resized image is displayed after successful resize operation</t>
        </is>
      </c>
      <c r="K585" t="inlineStr">
        <is>
          <t>验证调整尺寸操作成功后展示调整后的图片</t>
        </is>
      </c>
      <c r="L585" s="2" t="str">
        <f>=HYPERLINK("http://pre.mgx.dev/chat/8304465066d546889042f1aace42d9f5", "http://pre.mgx.dev/chat/8304465066d546889042f1aace42d9f5")</f>
        <v>http://pre.mgx.dev/chat/8304465066d546889042f1aace42d9f5</v>
      </c>
      <c r="M585" s="2" t="str">
        <f>=HYPERLINK("", "https://45763-8304465066d546889042f1aace42d9f5-3-latest.app.beta.mgx.dev")</f>
        <v>https://45763-8304465066d546889042f1aace42d9f5-3-latest.app.beta.mgx.dev</v>
      </c>
      <c r="N585" s="2" t="str">
        <f>=HYPERLINK("mailto:eval_53@auto.com", "eval_53@auto.com")</f>
        <v>eval_53@auto.com</v>
      </c>
      <c r="O585" t="inlineStr">
        <is>
          <t>8304465066d546889042f1aace42d9f5</t>
        </is>
      </c>
    </row>
    <row r="586" ht="25.5" customHeight="1">
      <c r="A586" t="inlineStr">
        <is>
          <t>Simple MBTI Test</t>
        </is>
      </c>
      <c r="B586">
        <v>45</v>
      </c>
      <c r="C586" t="inlineStr">
        <is>
          <t>@陈佳杰</t>
        </is>
      </c>
      <c r="D586">
        <v>1</v>
      </c>
      <c r="E586"/>
      <c r="F586" t="inlineStr">
        <is>
          <t>@杨春玉</t>
        </is>
      </c>
      <c r="G586">
        <v>1</v>
      </c>
      <c r="H586"/>
      <c r="I586">
        <v>1</v>
      </c>
      <c r="J586" t="inlineStr">
        <is>
          <t>Check that a personality overview is provided based on the calculated type</t>
        </is>
      </c>
      <c r="K586" t="inlineStr">
        <is>
          <t>检查基于计算出的性格类型提供性格概述</t>
        </is>
      </c>
      <c r="L586" s="2" t="str">
        <f>=HYPERLINK("http://pre.mgx.dev/chat/35b02de9dfdd4629a1a8f385b996cd3a", "http://pre.mgx.dev/chat/35b02de9dfdd4629a1a8f385b996cd3a")</f>
        <v>http://pre.mgx.dev/chat/35b02de9dfdd4629a1a8f385b996cd3a</v>
      </c>
      <c r="M586" s="2" t="str">
        <f>=HYPERLINK("", "https://45758-35b02de9dfdd4629a1a8f385b996cd3a-3-latest.app.beta.mgx.dev")</f>
        <v>https://45758-35b02de9dfdd4629a1a8f385b996cd3a-3-latest.app.beta.mgx.dev</v>
      </c>
      <c r="N586" s="2" t="str">
        <f>=HYPERLINK("mailto:eval_48@auto.com", "eval_48@auto.com")</f>
        <v>eval_48@auto.com</v>
      </c>
      <c r="O586" t="inlineStr">
        <is>
          <t>35b02de9dfdd4629a1a8f385b996cd3a</t>
        </is>
      </c>
    </row>
    <row r="587" ht="25.5" customHeight="1">
      <c r="A587" t="inlineStr">
        <is>
          <t>Simple MBTI Test</t>
        </is>
      </c>
      <c r="B587">
        <v>45</v>
      </c>
      <c r="C587" t="inlineStr">
        <is>
          <t>@陈佳杰</t>
        </is>
      </c>
      <c r="D587">
        <v>1</v>
      </c>
      <c r="E587"/>
      <c r="F587" t="inlineStr">
        <is>
          <t>@杨春玉</t>
        </is>
      </c>
      <c r="G587">
        <v>1</v>
      </c>
      <c r="H587"/>
      <c r="I587">
        <v>2</v>
      </c>
      <c r="J587" t="inlineStr">
        <is>
          <t>Check that each question has exactly two multiple-choice options</t>
        </is>
      </c>
      <c r="K587" t="inlineStr">
        <is>
          <t>检查每个问题均有且仅有两个选择题选项</t>
        </is>
      </c>
      <c r="L587" s="2" t="str">
        <f>=HYPERLINK("http://pre.mgx.dev/chat/35b02de9dfdd4629a1a8f385b996cd3a", "http://pre.mgx.dev/chat/35b02de9dfdd4629a1a8f385b996cd3a")</f>
        <v>http://pre.mgx.dev/chat/35b02de9dfdd4629a1a8f385b996cd3a</v>
      </c>
      <c r="M587" s="2" t="str">
        <f>=HYPERLINK("", "https://45758-35b02de9dfdd4629a1a8f385b996cd3a-3-latest.app.beta.mgx.dev")</f>
        <v>https://45758-35b02de9dfdd4629a1a8f385b996cd3a-3-latest.app.beta.mgx.dev</v>
      </c>
      <c r="N587" s="2" t="str">
        <f>=HYPERLINK("mailto:eval_48@auto.com", "eval_48@auto.com")</f>
        <v>eval_48@auto.com</v>
      </c>
      <c r="O587" t="inlineStr">
        <is>
          <t>35b02de9dfdd4629a1a8f385b996cd3a</t>
        </is>
      </c>
    </row>
    <row r="588" ht="25.5" customHeight="1">
      <c r="A588" t="inlineStr">
        <is>
          <t>Simple MBTI Test</t>
        </is>
      </c>
      <c r="B588">
        <v>45</v>
      </c>
      <c r="C588" t="inlineStr">
        <is>
          <t>@陈佳杰</t>
        </is>
      </c>
      <c r="D588">
        <v>1</v>
      </c>
      <c r="E588"/>
      <c r="F588" t="inlineStr">
        <is>
          <t>@杨春玉</t>
        </is>
      </c>
      <c r="G588">
        <v>1</v>
      </c>
      <c r="H588"/>
      <c r="I588">
        <v>3</v>
      </c>
      <c r="J588" t="inlineStr">
        <is>
          <t>Check that the percentage for each dimension is calculated correctly</t>
        </is>
      </c>
      <c r="K588" t="inlineStr">
        <is>
          <t>检查每个维度的百分比计算正确</t>
        </is>
      </c>
      <c r="L588" s="2" t="str">
        <f>=HYPERLINK("http://pre.mgx.dev/chat/35b02de9dfdd4629a1a8f385b996cd3a", "http://pre.mgx.dev/chat/35b02de9dfdd4629a1a8f385b996cd3a")</f>
        <v>http://pre.mgx.dev/chat/35b02de9dfdd4629a1a8f385b996cd3a</v>
      </c>
      <c r="M588" s="2" t="str">
        <f>=HYPERLINK("", "https://45758-35b02de9dfdd4629a1a8f385b996cd3a-3-latest.app.beta.mgx.dev")</f>
        <v>https://45758-35b02de9dfdd4629a1a8f385b996cd3a-3-latest.app.beta.mgx.dev</v>
      </c>
      <c r="N588" s="2" t="str">
        <f>=HYPERLINK("mailto:eval_48@auto.com", "eval_48@auto.com")</f>
        <v>eval_48@auto.com</v>
      </c>
      <c r="O588" t="inlineStr">
        <is>
          <t>35b02de9dfdd4629a1a8f385b996cd3a</t>
        </is>
      </c>
    </row>
    <row r="589" ht="25.5" customHeight="1">
      <c r="A589" t="inlineStr">
        <is>
          <t>Simple MBTI Test</t>
        </is>
      </c>
      <c r="B589">
        <v>45</v>
      </c>
      <c r="C589" t="inlineStr">
        <is>
          <t>@陈佳杰</t>
        </is>
      </c>
      <c r="D589">
        <v>1</v>
      </c>
      <c r="E589"/>
      <c r="F589" t="inlineStr">
        <is>
          <t>@杨春玉</t>
        </is>
      </c>
      <c r="G589">
        <v>1</v>
      </c>
      <c r="H589"/>
      <c r="I589">
        <v>4</v>
      </c>
      <c r="J589" t="inlineStr">
        <is>
          <t>Check that the weaknesses analysis is displayed and contains relevant information</t>
        </is>
      </c>
      <c r="K589" t="inlineStr">
        <is>
          <t>检查展示的劣势分析内容相关且完整</t>
        </is>
      </c>
      <c r="L589" s="2" t="str">
        <f>=HYPERLINK("http://pre.mgx.dev/chat/35b02de9dfdd4629a1a8f385b996cd3a", "http://pre.mgx.dev/chat/35b02de9dfdd4629a1a8f385b996cd3a")</f>
        <v>http://pre.mgx.dev/chat/35b02de9dfdd4629a1a8f385b996cd3a</v>
      </c>
      <c r="M589" s="2" t="str">
        <f>=HYPERLINK("", "https://45758-35b02de9dfdd4629a1a8f385b996cd3a-3-latest.app.beta.mgx.dev")</f>
        <v>https://45758-35b02de9dfdd4629a1a8f385b996cd3a-3-latest.app.beta.mgx.dev</v>
      </c>
      <c r="N589" s="2" t="str">
        <f>=HYPERLINK("mailto:eval_48@auto.com", "eval_48@auto.com")</f>
        <v>eval_48@auto.com</v>
      </c>
      <c r="O589" t="inlineStr">
        <is>
          <t>35b02de9dfdd4629a1a8f385b996cd3a</t>
        </is>
      </c>
    </row>
    <row r="590" ht="25.5" customHeight="1">
      <c r="A590" t="inlineStr">
        <is>
          <t>Simple MBTI Test</t>
        </is>
      </c>
      <c r="B590">
        <v>45</v>
      </c>
      <c r="C590" t="inlineStr">
        <is>
          <t>@陈佳杰</t>
        </is>
      </c>
      <c r="D590">
        <v>1</v>
      </c>
      <c r="E590"/>
      <c r="F590" t="inlineStr">
        <is>
          <t>@杨春玉</t>
        </is>
      </c>
      <c r="G590">
        <v>1</v>
      </c>
      <c r="H590"/>
      <c r="I590">
        <v>5</v>
      </c>
      <c r="J590" t="inlineStr">
        <is>
          <t>Ensure that all four MBTI dimensions (E-I, S-N, T-F, J-P) are covered in the questions</t>
        </is>
      </c>
      <c r="K590" t="inlineStr">
        <is>
          <t>确保问题涵盖MBTI的所有四个维度（外向-内向、实感-直觉、思考-情感、判断-感知）</t>
        </is>
      </c>
      <c r="L590" s="2" t="str">
        <f>=HYPERLINK("http://pre.mgx.dev/chat/35b02de9dfdd4629a1a8f385b996cd3a", "http://pre.mgx.dev/chat/35b02de9dfdd4629a1a8f385b996cd3a")</f>
        <v>http://pre.mgx.dev/chat/35b02de9dfdd4629a1a8f385b996cd3a</v>
      </c>
      <c r="M590" s="2" t="str">
        <f>=HYPERLINK("", "https://45758-35b02de9dfdd4629a1a8f385b996cd3a-3-latest.app.beta.mgx.dev")</f>
        <v>https://45758-35b02de9dfdd4629a1a8f385b996cd3a-3-latest.app.beta.mgx.dev</v>
      </c>
      <c r="N590" s="2" t="str">
        <f>=HYPERLINK("mailto:eval_48@auto.com", "eval_48@auto.com")</f>
        <v>eval_48@auto.com</v>
      </c>
      <c r="O590" t="inlineStr">
        <is>
          <t>35b02de9dfdd4629a1a8f385b996cd3a</t>
        </is>
      </c>
    </row>
    <row r="591" ht="25.5" customHeight="1">
      <c r="A591" t="inlineStr">
        <is>
          <t>Simple MBTI Test</t>
        </is>
      </c>
      <c r="B591">
        <v>45</v>
      </c>
      <c r="C591" t="inlineStr">
        <is>
          <t>@陈佳杰</t>
        </is>
      </c>
      <c r="D591">
        <v>1</v>
      </c>
      <c r="E591"/>
      <c r="F591" t="inlineStr">
        <is>
          <t>@杨春玉</t>
        </is>
      </c>
      <c r="G591">
        <v>1</v>
      </c>
      <c r="H591"/>
      <c r="I591">
        <v>6</v>
      </c>
      <c r="J591" t="inlineStr">
        <is>
          <t>Ensure that the sum of percentages for each pair of opposing traits (e.g., E and I) equals 100%</t>
        </is>
      </c>
      <c r="K591" t="inlineStr">
        <is>
          <t>确保每对对立特质的百分比之和为100%（如外向和内向）</t>
        </is>
      </c>
      <c r="L591" s="2" t="str">
        <f>=HYPERLINK("http://pre.mgx.dev/chat/35b02de9dfdd4629a1a8f385b996cd3a", "http://pre.mgx.dev/chat/35b02de9dfdd4629a1a8f385b996cd3a")</f>
        <v>http://pre.mgx.dev/chat/35b02de9dfdd4629a1a8f385b996cd3a</v>
      </c>
      <c r="M591" s="2" t="str">
        <f>=HYPERLINK("", "https://45758-35b02de9dfdd4629a1a8f385b996cd3a-3-latest.app.beta.mgx.dev")</f>
        <v>https://45758-35b02de9dfdd4629a1a8f385b996cd3a-3-latest.app.beta.mgx.dev</v>
      </c>
      <c r="N591" s="2" t="str">
        <f>=HYPERLINK("mailto:eval_48@auto.com", "eval_48@auto.com")</f>
        <v>eval_48@auto.com</v>
      </c>
      <c r="O591" t="inlineStr">
        <is>
          <t>35b02de9dfdd4629a1a8f385b996cd3a</t>
        </is>
      </c>
    </row>
    <row r="592" ht="25.5" customHeight="1">
      <c r="A592" t="inlineStr">
        <is>
          <t>Simple MBTI Test</t>
        </is>
      </c>
      <c r="B592">
        <v>45</v>
      </c>
      <c r="C592" t="inlineStr">
        <is>
          <t>@陈佳杰</t>
        </is>
      </c>
      <c r="D592">
        <v>1</v>
      </c>
      <c r="E592"/>
      <c r="F592" t="inlineStr">
        <is>
          <t>@杨春玉</t>
        </is>
      </c>
      <c r="G592">
        <v>1</v>
      </c>
      <c r="H592"/>
      <c r="I592">
        <v>7</v>
      </c>
      <c r="J592" t="inlineStr">
        <is>
          <t>Ensure that the test results can be viewed after submission without page refresh</t>
        </is>
      </c>
      <c r="K592" t="inlineStr">
        <is>
          <t>确保提交测试后无需刷新页面即可查看测试结果</t>
        </is>
      </c>
      <c r="L592" s="2" t="str">
        <f>=HYPERLINK("http://pre.mgx.dev/chat/35b02de9dfdd4629a1a8f385b996cd3a", "http://pre.mgx.dev/chat/35b02de9dfdd4629a1a8f385b996cd3a")</f>
        <v>http://pre.mgx.dev/chat/35b02de9dfdd4629a1a8f385b996cd3a</v>
      </c>
      <c r="M592" s="2" t="str">
        <f>=HYPERLINK("", "https://45758-35b02de9dfdd4629a1a8f385b996cd3a-3-latest.app.beta.mgx.dev")</f>
        <v>https://45758-35b02de9dfdd4629a1a8f385b996cd3a-3-latest.app.beta.mgx.dev</v>
      </c>
      <c r="N592" s="2" t="str">
        <f>=HYPERLINK("mailto:eval_48@auto.com", "eval_48@auto.com")</f>
        <v>eval_48@auto.com</v>
      </c>
      <c r="O592" t="inlineStr">
        <is>
          <t>35b02de9dfdd4629a1a8f385b996cd3a</t>
        </is>
      </c>
    </row>
    <row r="593" ht="25.5" customHeight="1">
      <c r="A593" t="inlineStr">
        <is>
          <t>Simple MBTI Test</t>
        </is>
      </c>
      <c r="B593">
        <v>45</v>
      </c>
      <c r="C593" t="inlineStr">
        <is>
          <t>@陈佳杰</t>
        </is>
      </c>
      <c r="D593">
        <v>1</v>
      </c>
      <c r="E593"/>
      <c r="F593" t="inlineStr">
        <is>
          <t>@杨春玉</t>
        </is>
      </c>
      <c r="G593">
        <v>1</v>
      </c>
      <c r="H593"/>
      <c r="I593">
        <v>8</v>
      </c>
      <c r="J593" t="inlineStr">
        <is>
          <t>Test that all 20 questions must be answered before submitting the test</t>
        </is>
      </c>
      <c r="K593" t="inlineStr">
        <is>
          <t>测试必须回答全部20道问题后方可提交测试</t>
        </is>
      </c>
      <c r="L593" s="2" t="str">
        <f>=HYPERLINK("http://pre.mgx.dev/chat/35b02de9dfdd4629a1a8f385b996cd3a", "http://pre.mgx.dev/chat/35b02de9dfdd4629a1a8f385b996cd3a")</f>
        <v>http://pre.mgx.dev/chat/35b02de9dfdd4629a1a8f385b996cd3a</v>
      </c>
      <c r="M593" s="2" t="str">
        <f>=HYPERLINK("", "https://45758-35b02de9dfdd4629a1a8f385b996cd3a-3-latest.app.beta.mgx.dev")</f>
        <v>https://45758-35b02de9dfdd4629a1a8f385b996cd3a-3-latest.app.beta.mgx.dev</v>
      </c>
      <c r="N593" s="2" t="str">
        <f>=HYPERLINK("mailto:eval_48@auto.com", "eval_48@auto.com")</f>
        <v>eval_48@auto.com</v>
      </c>
      <c r="O593" t="inlineStr">
        <is>
          <t>35b02de9dfdd4629a1a8f385b996cd3a</t>
        </is>
      </c>
    </row>
    <row r="594" ht="25.5" customHeight="1">
      <c r="A594" t="inlineStr">
        <is>
          <t>Simple MBTI Test</t>
        </is>
      </c>
      <c r="B594">
        <v>45</v>
      </c>
      <c r="C594" t="inlineStr">
        <is>
          <t>@陈佳杰</t>
        </is>
      </c>
      <c r="D594">
        <v>1</v>
      </c>
      <c r="E594"/>
      <c r="F594" t="inlineStr">
        <is>
          <t>@杨春玉</t>
        </is>
      </c>
      <c r="G594">
        <v>1</v>
      </c>
      <c r="H594"/>
      <c r="I594">
        <v>9</v>
      </c>
      <c r="J594" t="inlineStr">
        <is>
          <t>Verify that the MBTI test page loads correctly and displays 20 questions</t>
        </is>
      </c>
      <c r="K594" t="inlineStr">
        <is>
          <t>验证MBTI测试页面加载正常且展示20道问题</t>
        </is>
      </c>
      <c r="L594" s="2" t="str">
        <f>=HYPERLINK("http://pre.mgx.dev/chat/35b02de9dfdd4629a1a8f385b996cd3a", "http://pre.mgx.dev/chat/35b02de9dfdd4629a1a8f385b996cd3a")</f>
        <v>http://pre.mgx.dev/chat/35b02de9dfdd4629a1a8f385b996cd3a</v>
      </c>
      <c r="M594" s="2" t="str">
        <f>=HYPERLINK("", "https://45758-35b02de9dfdd4629a1a8f385b996cd3a-3-latest.app.beta.mgx.dev")</f>
        <v>https://45758-35b02de9dfdd4629a1a8f385b996cd3a-3-latest.app.beta.mgx.dev</v>
      </c>
      <c r="N594" s="2" t="str">
        <f>=HYPERLINK("mailto:eval_48@auto.com", "eval_48@auto.com")</f>
        <v>eval_48@auto.com</v>
      </c>
      <c r="O594" t="inlineStr">
        <is>
          <t>35b02de9dfdd4629a1a8f385b996cd3a</t>
        </is>
      </c>
    </row>
    <row r="595" ht="25.5" customHeight="1">
      <c r="A595" t="inlineStr">
        <is>
          <t>Simple MBTI Test</t>
        </is>
      </c>
      <c r="B595">
        <v>45</v>
      </c>
      <c r="C595" t="inlineStr">
        <is>
          <t>@陈佳杰</t>
        </is>
      </c>
      <c r="D595">
        <v>1</v>
      </c>
      <c r="E595"/>
      <c r="F595" t="inlineStr">
        <is>
          <t>@杨春玉</t>
        </is>
      </c>
      <c r="G595">
        <v>1</v>
      </c>
      <c r="H595"/>
      <c r="I595">
        <v>10</v>
      </c>
      <c r="J595" t="inlineStr">
        <is>
          <t>Verify that the final personality type (e.g., INTJ) is displayed correctly based on the highest percentage in each dimension</t>
        </is>
      </c>
      <c r="K595" t="inlineStr">
        <is>
          <t>验证基于各维度最高百分比正确展示最终性格类型（如INTJ）</t>
        </is>
      </c>
      <c r="L595" s="2" t="str">
        <f>=HYPERLINK("http://pre.mgx.dev/chat/35b02de9dfdd4629a1a8f385b996cd3a", "http://pre.mgx.dev/chat/35b02de9dfdd4629a1a8f385b996cd3a")</f>
        <v>http://pre.mgx.dev/chat/35b02de9dfdd4629a1a8f385b996cd3a</v>
      </c>
      <c r="M595" s="2" t="str">
        <f>=HYPERLINK("", "https://45758-35b02de9dfdd4629a1a8f385b996cd3a-3-latest.app.beta.mgx.dev")</f>
        <v>https://45758-35b02de9dfdd4629a1a8f385b996cd3a-3-latest.app.beta.mgx.dev</v>
      </c>
      <c r="N595" s="2" t="str">
        <f>=HYPERLINK("mailto:eval_48@auto.com", "eval_48@auto.com")</f>
        <v>eval_48@auto.com</v>
      </c>
      <c r="O595" t="inlineStr">
        <is>
          <t>35b02de9dfdd4629a1a8f385b996cd3a</t>
        </is>
      </c>
    </row>
    <row r="596" ht="25.5" customHeight="1">
      <c r="A596" t="inlineStr">
        <is>
          <t>Simple MBTI Test</t>
        </is>
      </c>
      <c r="B596">
        <v>45</v>
      </c>
      <c r="C596" t="inlineStr">
        <is>
          <t>@陈佳杰</t>
        </is>
      </c>
      <c r="D596">
        <v>1</v>
      </c>
      <c r="E596"/>
      <c r="F596" t="inlineStr">
        <is>
          <t>@杨春玉</t>
        </is>
      </c>
      <c r="G596">
        <v>1</v>
      </c>
      <c r="H596"/>
      <c r="I596">
        <v>11</v>
      </c>
      <c r="J596" t="inlineStr">
        <is>
          <t>Verify that the personality analysis includes information about all four dimensions</t>
        </is>
      </c>
      <c r="K596" t="inlineStr">
        <is>
          <t>验证性格分析包含所有四个维度的信息</t>
        </is>
      </c>
      <c r="L596" s="2" t="str">
        <f>=HYPERLINK("http://pre.mgx.dev/chat/35b02de9dfdd4629a1a8f385b996cd3a", "http://pre.mgx.dev/chat/35b02de9dfdd4629a1a8f385b996cd3a")</f>
        <v>http://pre.mgx.dev/chat/35b02de9dfdd4629a1a8f385b996cd3a</v>
      </c>
      <c r="M596" s="2" t="str">
        <f>=HYPERLINK("", "https://45758-35b02de9dfdd4629a1a8f385b996cd3a-3-latest.app.beta.mgx.dev")</f>
        <v>https://45758-35b02de9dfdd4629a1a8f385b996cd3a-3-latest.app.beta.mgx.dev</v>
      </c>
      <c r="N596" s="2" t="str">
        <f>=HYPERLINK("mailto:eval_48@auto.com", "eval_48@auto.com")</f>
        <v>eval_48@auto.com</v>
      </c>
      <c r="O596" t="inlineStr">
        <is>
          <t>35b02de9dfdd4629a1a8f385b996cd3a</t>
        </is>
      </c>
    </row>
    <row r="597" ht="25.5" customHeight="1">
      <c r="A597" t="inlineStr">
        <is>
          <t>Simple MBTI Test</t>
        </is>
      </c>
      <c r="B597">
        <v>45</v>
      </c>
      <c r="C597" t="inlineStr">
        <is>
          <t>@陈佳杰</t>
        </is>
      </c>
      <c r="D597">
        <v>1</v>
      </c>
      <c r="E597"/>
      <c r="F597" t="inlineStr">
        <is>
          <t>@杨春玉</t>
        </is>
      </c>
      <c r="G597">
        <v>1</v>
      </c>
      <c r="H597"/>
      <c r="I597">
        <v>12</v>
      </c>
      <c r="J597" t="inlineStr">
        <is>
          <t>Verify that the test calculates and displays scores for all four dimensions</t>
        </is>
      </c>
      <c r="K597" t="inlineStr">
        <is>
          <t>验证测试计算并展示所有四个维度的分数</t>
        </is>
      </c>
      <c r="L597" s="2" t="str">
        <f>=HYPERLINK("http://pre.mgx.dev/chat/35b02de9dfdd4629a1a8f385b996cd3a", "http://pre.mgx.dev/chat/35b02de9dfdd4629a1a8f385b996cd3a")</f>
        <v>http://pre.mgx.dev/chat/35b02de9dfdd4629a1a8f385b996cd3a</v>
      </c>
      <c r="M597" s="2" t="str">
        <f>=HYPERLINK("", "https://45758-35b02de9dfdd4629a1a8f385b996cd3a-3-latest.app.beta.mgx.dev")</f>
        <v>https://45758-35b02de9dfdd4629a1a8f385b996cd3a-3-latest.app.beta.mgx.dev</v>
      </c>
      <c r="N597" s="2" t="str">
        <f>=HYPERLINK("mailto:eval_48@auto.com", "eval_48@auto.com")</f>
        <v>eval_48@auto.com</v>
      </c>
      <c r="O597" t="inlineStr">
        <is>
          <t>35b02de9dfdd4629a1a8f385b996cd3a</t>
        </is>
      </c>
    </row>
    <row r="598" ht="25.5" customHeight="1">
      <c r="A598" t="inlineStr">
        <is>
          <t>Simple MBTI Test</t>
        </is>
      </c>
      <c r="B598">
        <v>45</v>
      </c>
      <c r="C598" t="inlineStr">
        <is>
          <t>@陈佳杰</t>
        </is>
      </c>
      <c r="D598">
        <v>1</v>
      </c>
      <c r="E598"/>
      <c r="F598" t="inlineStr">
        <is>
          <t>@杨春玉</t>
        </is>
      </c>
      <c r="G598">
        <v>1</v>
      </c>
      <c r="H598"/>
      <c r="I598">
        <v>13</v>
      </c>
      <c r="J598" t="inlineStr">
        <is>
          <t>Verify that the user can select only one option per question</t>
        </is>
      </c>
      <c r="K598" t="inlineStr">
        <is>
          <t>验证用户每个问题仅可选择一个选项</t>
        </is>
      </c>
      <c r="L598" s="2" t="str">
        <f>=HYPERLINK("http://pre.mgx.dev/chat/35b02de9dfdd4629a1a8f385b996cd3a", "http://pre.mgx.dev/chat/35b02de9dfdd4629a1a8f385b996cd3a")</f>
        <v>http://pre.mgx.dev/chat/35b02de9dfdd4629a1a8f385b996cd3a</v>
      </c>
      <c r="M598" s="2" t="str">
        <f>=HYPERLINK("", "https://45758-35b02de9dfdd4629a1a8f385b996cd3a-3-latest.app.beta.mgx.dev")</f>
        <v>https://45758-35b02de9dfdd4629a1a8f385b996cd3a-3-latest.app.beta.mgx.dev</v>
      </c>
      <c r="N598" s="2" t="str">
        <f>=HYPERLINK("mailto:eval_48@auto.com", "eval_48@auto.com")</f>
        <v>eval_48@auto.com</v>
      </c>
      <c r="O598" t="inlineStr">
        <is>
          <t>35b02de9dfdd4629a1a8f385b996cd3a</t>
        </is>
      </c>
    </row>
    <row r="599" ht="25.5" customHeight="1">
      <c r="A599" t="inlineStr">
        <is>
          <t>Social Link Tree</t>
        </is>
      </c>
      <c r="B599">
        <v>46</v>
      </c>
      <c r="C599" t="inlineStr">
        <is>
          <t>@陈佳杰</t>
        </is>
      </c>
      <c r="D599">
        <v>1</v>
      </c>
      <c r="E599"/>
      <c r="F599" t="inlineStr">
        <is>
          <t>@杨春玉</t>
        </is>
      </c>
      <c r="G599">
        <v>1</v>
      </c>
      <c r="H599"/>
      <c r="I599">
        <v>1</v>
      </c>
      <c r="J599" t="inlineStr">
        <is>
          <t>Check if all links are displayed as buttons</t>
        </is>
      </c>
      <c r="K599" t="inlineStr">
        <is>
          <t>检查所有链接是否以按钮形式展示</t>
        </is>
      </c>
      <c r="L599" s="2" t="str">
        <f>=HYPERLINK("http://pre.mgx.dev/chat/2ad1d8c1a2604d0ab78084bc13c8d0b8", "http://pre.mgx.dev/chat/2ad1d8c1a2604d0ab78084bc13c8d0b8")</f>
        <v>http://pre.mgx.dev/chat/2ad1d8c1a2604d0ab78084bc13c8d0b8</v>
      </c>
      <c r="M599" s="2" t="str">
        <f>=HYPERLINK("", "https://45748-2ad1d8c1a2604d0ab78084bc13c8d0b8-3-latest.app.beta.mgx.dev")</f>
        <v>https://45748-2ad1d8c1a2604d0ab78084bc13c8d0b8-3-latest.app.beta.mgx.dev</v>
      </c>
      <c r="N599" s="2" t="str">
        <f>=HYPERLINK("mailto:eval_38@auto.com", "eval_38@auto.com")</f>
        <v>eval_38@auto.com</v>
      </c>
      <c r="O599" t="inlineStr">
        <is>
          <t>2ad1d8c1a2604d0ab78084bc13c8d0b8</t>
        </is>
      </c>
    </row>
    <row r="600" ht="25.5" customHeight="1">
      <c r="A600" t="inlineStr">
        <is>
          <t>Social Link Tree</t>
        </is>
      </c>
      <c r="B600">
        <v>46</v>
      </c>
      <c r="C600" t="inlineStr">
        <is>
          <t>@陈佳杰</t>
        </is>
      </c>
      <c r="D600">
        <v>1</v>
      </c>
      <c r="E600"/>
      <c r="F600" t="inlineStr">
        <is>
          <t>@杨春玉</t>
        </is>
      </c>
      <c r="G600">
        <v>1</v>
      </c>
      <c r="H600"/>
      <c r="I600">
        <v>2</v>
      </c>
      <c r="J600" t="inlineStr">
        <is>
          <t>Ensure correct links are displayed when a category is selected</t>
        </is>
      </c>
      <c r="K600" t="inlineStr">
        <is>
          <t>确保选择分类后展示对应的正确链接</t>
        </is>
      </c>
      <c r="L600" s="2" t="str">
        <f>=HYPERLINK("http://pre.mgx.dev/chat/2ad1d8c1a2604d0ab78084bc13c8d0b8", "http://pre.mgx.dev/chat/2ad1d8c1a2604d0ab78084bc13c8d0b8")</f>
        <v>http://pre.mgx.dev/chat/2ad1d8c1a2604d0ab78084bc13c8d0b8</v>
      </c>
      <c r="M600" s="2" t="str">
        <f>=HYPERLINK("", "https://45748-2ad1d8c1a2604d0ab78084bc13c8d0b8-3-latest.app.beta.mgx.dev")</f>
        <v>https://45748-2ad1d8c1a2604d0ab78084bc13c8d0b8-3-latest.app.beta.mgx.dev</v>
      </c>
      <c r="N600" s="2" t="str">
        <f>=HYPERLINK("mailto:eval_38@auto.com", "eval_38@auto.com")</f>
        <v>eval_38@auto.com</v>
      </c>
      <c r="O600" t="inlineStr">
        <is>
          <t>2ad1d8c1a2604d0ab78084bc13c8d0b8</t>
        </is>
      </c>
    </row>
    <row r="601" ht="25.5" customHeight="1">
      <c r="A601" t="inlineStr">
        <is>
          <t>Social Link Tree</t>
        </is>
      </c>
      <c r="B601">
        <v>46</v>
      </c>
      <c r="C601" t="inlineStr">
        <is>
          <t>@陈佳杰</t>
        </is>
      </c>
      <c r="D601">
        <v>1</v>
      </c>
      <c r="E601"/>
      <c r="F601" t="inlineStr">
        <is>
          <t>@杨春玉</t>
        </is>
      </c>
      <c r="G601">
        <v>1</v>
      </c>
      <c r="H601"/>
      <c r="I601">
        <v>3</v>
      </c>
      <c r="J601" t="inlineStr">
        <is>
          <t>Test deselecting a category tag shows all links again</t>
        </is>
      </c>
      <c r="K601" t="inlineStr">
        <is>
          <t>测试取消选择分类标签后重新展示所有链接</t>
        </is>
      </c>
      <c r="L601" s="2" t="str">
        <f>=HYPERLINK("http://pre.mgx.dev/chat/2ad1d8c1a2604d0ab78084bc13c8d0b8", "http://pre.mgx.dev/chat/2ad1d8c1a2604d0ab78084bc13c8d0b8")</f>
        <v>http://pre.mgx.dev/chat/2ad1d8c1a2604d0ab78084bc13c8d0b8</v>
      </c>
      <c r="M601" s="2" t="str">
        <f>=HYPERLINK("", "https://45748-2ad1d8c1a2604d0ab78084bc13c8d0b8-3-latest.app.beta.mgx.dev")</f>
        <v>https://45748-2ad1d8c1a2604d0ab78084bc13c8d0b8-3-latest.app.beta.mgx.dev</v>
      </c>
      <c r="N601" s="2" t="str">
        <f>=HYPERLINK("mailto:eval_38@auto.com", "eval_38@auto.com")</f>
        <v>eval_38@auto.com</v>
      </c>
      <c r="O601" t="inlineStr">
        <is>
          <t>2ad1d8c1a2604d0ab78084bc13c8d0b8</t>
        </is>
      </c>
    </row>
    <row r="602" ht="25.5" customHeight="1">
      <c r="A602" t="inlineStr">
        <is>
          <t>Social Link Tree</t>
        </is>
      </c>
      <c r="B602">
        <v>46</v>
      </c>
      <c r="C602" t="inlineStr">
        <is>
          <t>@陈佳杰</t>
        </is>
      </c>
      <c r="D602">
        <v>1</v>
      </c>
      <c r="E602"/>
      <c r="F602" t="inlineStr">
        <is>
          <t>@杨春玉</t>
        </is>
      </c>
      <c r="G602">
        <v>1</v>
      </c>
      <c r="H602"/>
      <c r="I602">
        <v>4</v>
      </c>
      <c r="J602" t="inlineStr">
        <is>
          <t>Test filtering links by selecting a category tag</t>
        </is>
      </c>
      <c r="K602" t="inlineStr">
        <is>
          <t>测试选择分类标签筛选链接的功能</t>
        </is>
      </c>
      <c r="L602" s="2" t="str">
        <f>=HYPERLINK("http://pre.mgx.dev/chat/2ad1d8c1a2604d0ab78084bc13c8d0b8", "http://pre.mgx.dev/chat/2ad1d8c1a2604d0ab78084bc13c8d0b8")</f>
        <v>http://pre.mgx.dev/chat/2ad1d8c1a2604d0ab78084bc13c8d0b8</v>
      </c>
      <c r="M602" s="2" t="str">
        <f>=HYPERLINK("", "https://45748-2ad1d8c1a2604d0ab78084bc13c8d0b8-3-latest.app.beta.mgx.dev")</f>
        <v>https://45748-2ad1d8c1a2604d0ab78084bc13c8d0b8-3-latest.app.beta.mgx.dev</v>
      </c>
      <c r="N602" s="2" t="str">
        <f>=HYPERLINK("mailto:eval_38@auto.com", "eval_38@auto.com")</f>
        <v>eval_38@auto.com</v>
      </c>
      <c r="O602" t="inlineStr">
        <is>
          <t>2ad1d8c1a2604d0ab78084bc13c8d0b8</t>
        </is>
      </c>
    </row>
    <row r="603" ht="25.5" customHeight="1">
      <c r="A603" t="inlineStr">
        <is>
          <t>Social Link Tree</t>
        </is>
      </c>
      <c r="B603">
        <v>46</v>
      </c>
      <c r="C603" t="inlineStr">
        <is>
          <t>@陈佳杰</t>
        </is>
      </c>
      <c r="D603">
        <v>1</v>
      </c>
      <c r="E603"/>
      <c r="F603" t="inlineStr">
        <is>
          <t>@杨春玉</t>
        </is>
      </c>
      <c r="G603">
        <v>1</v>
      </c>
      <c r="H603"/>
      <c r="I603">
        <v>5</v>
      </c>
      <c r="J603" t="inlineStr">
        <is>
          <t>Test if clicking a link button opens the correct URL</t>
        </is>
      </c>
      <c r="K603" t="inlineStr">
        <is>
          <t>测试点击链接按钮可打开正确的网址</t>
        </is>
      </c>
      <c r="L603" s="2" t="str">
        <f>=HYPERLINK("http://pre.mgx.dev/chat/2ad1d8c1a2604d0ab78084bc13c8d0b8", "http://pre.mgx.dev/chat/2ad1d8c1a2604d0ab78084bc13c8d0b8")</f>
        <v>http://pre.mgx.dev/chat/2ad1d8c1a2604d0ab78084bc13c8d0b8</v>
      </c>
      <c r="M603" s="2" t="str">
        <f>=HYPERLINK("", "https://45748-2ad1d8c1a2604d0ab78084bc13c8d0b8-3-latest.app.beta.mgx.dev")</f>
        <v>https://45748-2ad1d8c1a2604d0ab78084bc13c8d0b8-3-latest.app.beta.mgx.dev</v>
      </c>
      <c r="N603" s="2" t="str">
        <f>=HYPERLINK("mailto:eval_38@auto.com", "eval_38@auto.com")</f>
        <v>eval_38@auto.com</v>
      </c>
      <c r="O603" t="inlineStr">
        <is>
          <t>2ad1d8c1a2604d0ab78084bc13c8d0b8</t>
        </is>
      </c>
    </row>
    <row r="604" ht="25.5" customHeight="1">
      <c r="A604" t="inlineStr">
        <is>
          <t>Social Link Tree</t>
        </is>
      </c>
      <c r="B604">
        <v>46</v>
      </c>
      <c r="C604" t="inlineStr">
        <is>
          <t>@陈佳杰</t>
        </is>
      </c>
      <c r="D604">
        <v>1</v>
      </c>
      <c r="E604"/>
      <c r="F604" t="inlineStr">
        <is>
          <t>@杨春玉</t>
        </is>
      </c>
      <c r="G604">
        <v>1</v>
      </c>
      <c r="H604"/>
      <c r="I604">
        <v>6</v>
      </c>
      <c r="J604" t="inlineStr">
        <is>
          <t>Verify each link button is clickable</t>
        </is>
      </c>
      <c r="K604" t="inlineStr">
        <is>
          <t>验证每个链接按钮可点击</t>
        </is>
      </c>
      <c r="L604" s="2" t="str">
        <f>=HYPERLINK("http://pre.mgx.dev/chat/2ad1d8c1a2604d0ab78084bc13c8d0b8", "http://pre.mgx.dev/chat/2ad1d8c1a2604d0ab78084bc13c8d0b8")</f>
        <v>http://pre.mgx.dev/chat/2ad1d8c1a2604d0ab78084bc13c8d0b8</v>
      </c>
      <c r="M604" s="2" t="str">
        <f>=HYPERLINK("", "https://45748-2ad1d8c1a2604d0ab78084bc13c8d0b8-3-latest.app.beta.mgx.dev")</f>
        <v>https://45748-2ad1d8c1a2604d0ab78084bc13c8d0b8-3-latest.app.beta.mgx.dev</v>
      </c>
      <c r="N604" s="2" t="str">
        <f>=HYPERLINK("mailto:eval_38@auto.com", "eval_38@auto.com")</f>
        <v>eval_38@auto.com</v>
      </c>
      <c r="O604" t="inlineStr">
        <is>
          <t>2ad1d8c1a2604d0ab78084bc13c8d0b8</t>
        </is>
      </c>
    </row>
    <row r="605" ht="25.5" customHeight="1">
      <c r="A605" t="inlineStr">
        <is>
          <t>Social Link Tree</t>
        </is>
      </c>
      <c r="B605">
        <v>46</v>
      </c>
      <c r="C605" t="inlineStr">
        <is>
          <t>@陈佳杰</t>
        </is>
      </c>
      <c r="D605">
        <v>1</v>
      </c>
      <c r="E605"/>
      <c r="F605" t="inlineStr">
        <is>
          <t>@杨春玉</t>
        </is>
      </c>
      <c r="G605">
        <v>1</v>
      </c>
      <c r="H605"/>
      <c r="I605">
        <v>7</v>
      </c>
      <c r="J605" t="inlineStr">
        <is>
          <t>Verify presence of category tags for filtering</t>
        </is>
      </c>
      <c r="K605" t="inlineStr">
        <is>
          <t>验证存在用于筛选的分类标签</t>
        </is>
      </c>
      <c r="L605" s="2" t="str">
        <f>=HYPERLINK("http://pre.mgx.dev/chat/2ad1d8c1a2604d0ab78084bc13c8d0b8", "http://pre.mgx.dev/chat/2ad1d8c1a2604d0ab78084bc13c8d0b8")</f>
        <v>http://pre.mgx.dev/chat/2ad1d8c1a2604d0ab78084bc13c8d0b8</v>
      </c>
      <c r="M605" s="2" t="str">
        <f>=HYPERLINK("", "https://45748-2ad1d8c1a2604d0ab78084bc13c8d0b8-3-latest.app.beta.mgx.dev")</f>
        <v>https://45748-2ad1d8c1a2604d0ab78084bc13c8d0b8-3-latest.app.beta.mgx.dev</v>
      </c>
      <c r="N605" s="2" t="str">
        <f>=HYPERLINK("mailto:eval_38@auto.com", "eval_38@auto.com")</f>
        <v>eval_38@auto.com</v>
      </c>
      <c r="O605" t="inlineStr">
        <is>
          <t>2ad1d8c1a2604d0ab78084bc13c8d0b8</t>
        </is>
      </c>
    </row>
    <row r="606" ht="25.5" customHeight="1">
      <c r="A606" t="inlineStr">
        <is>
          <t>Social Link Tree</t>
        </is>
      </c>
      <c r="B606">
        <v>46</v>
      </c>
      <c r="C606" t="inlineStr">
        <is>
          <t>@陈佳杰</t>
        </is>
      </c>
      <c r="D606">
        <v>1</v>
      </c>
      <c r="E606"/>
      <c r="F606" t="inlineStr">
        <is>
          <t>@杨春玉</t>
        </is>
      </c>
      <c r="G606">
        <v>1</v>
      </c>
      <c r="H606"/>
      <c r="I606">
        <v>8</v>
      </c>
      <c r="J606" t="inlineStr">
        <is>
          <t>Verify presence of theme toggle button</t>
        </is>
      </c>
      <c r="K606" t="inlineStr">
        <is>
          <t>验证存在主题切换按钮</t>
        </is>
      </c>
      <c r="L606" s="2" t="str">
        <f>=HYPERLINK("http://pre.mgx.dev/chat/2ad1d8c1a2604d0ab78084bc13c8d0b8", "http://pre.mgx.dev/chat/2ad1d8c1a2604d0ab78084bc13c8d0b8")</f>
        <v>http://pre.mgx.dev/chat/2ad1d8c1a2604d0ab78084bc13c8d0b8</v>
      </c>
      <c r="M606" s="2" t="str">
        <f>=HYPERLINK("", "https://45748-2ad1d8c1a2604d0ab78084bc13c8d0b8-3-latest.app.beta.mgx.dev")</f>
        <v>https://45748-2ad1d8c1a2604d0ab78084bc13c8d0b8-3-latest.app.beta.mgx.dev</v>
      </c>
      <c r="N606" s="2" t="str">
        <f>=HYPERLINK("mailto:eval_38@auto.com", "eval_38@auto.com")</f>
        <v>eval_38@auto.com</v>
      </c>
      <c r="O606" t="inlineStr">
        <is>
          <t>2ad1d8c1a2604d0ab78084bc13c8d0b8</t>
        </is>
      </c>
    </row>
    <row r="607" ht="25.5" customHeight="1">
      <c r="A607" t="inlineStr">
        <is>
          <t>Social Link Tree</t>
        </is>
      </c>
      <c r="B607">
        <v>46</v>
      </c>
      <c r="C607" t="inlineStr">
        <is>
          <t>@陈佳杰</t>
        </is>
      </c>
      <c r="D607">
        <v>1</v>
      </c>
      <c r="E607"/>
      <c r="F607" t="inlineStr">
        <is>
          <t>@杨春玉</t>
        </is>
      </c>
      <c r="G607">
        <v>1</v>
      </c>
      <c r="H607"/>
      <c r="I607">
        <v>9</v>
      </c>
      <c r="J607" t="inlineStr">
        <is>
          <t>Verify profile text is present and readable</t>
        </is>
      </c>
      <c r="K607" t="inlineStr">
        <is>
          <t>验证个人简介文本存在且可读</t>
        </is>
      </c>
      <c r="L607" s="2" t="str">
        <f>=HYPERLINK("http://pre.mgx.dev/chat/2ad1d8c1a2604d0ab78084bc13c8d0b8", "http://pre.mgx.dev/chat/2ad1d8c1a2604d0ab78084bc13c8d0b8")</f>
        <v>http://pre.mgx.dev/chat/2ad1d8c1a2604d0ab78084bc13c8d0b8</v>
      </c>
      <c r="M607" s="2" t="str">
        <f>=HYPERLINK("", "https://45748-2ad1d8c1a2604d0ab78084bc13c8d0b8-3-latest.app.beta.mgx.dev")</f>
        <v>https://45748-2ad1d8c1a2604d0ab78084bc13c8d0b8-3-latest.app.beta.mgx.dev</v>
      </c>
      <c r="N607" s="2" t="str">
        <f>=HYPERLINK("mailto:eval_38@auto.com", "eval_38@auto.com")</f>
        <v>eval_38@auto.com</v>
      </c>
      <c r="O607" t="inlineStr">
        <is>
          <t>2ad1d8c1a2604d0ab78084bc13c8d0b8</t>
        </is>
      </c>
    </row>
    <row r="608" ht="25.5" customHeight="1">
      <c r="A608" t="inlineStr">
        <is>
          <t>Story Display</t>
        </is>
      </c>
      <c r="B608">
        <v>47</v>
      </c>
      <c r="C608" t="inlineStr">
        <is>
          <t>@陈佳杰</t>
        </is>
      </c>
      <c r="D608">
        <v>1</v>
      </c>
      <c r="E608"/>
      <c r="F608" t="inlineStr">
        <is>
          <t>@杨春玉</t>
        </is>
      </c>
      <c r="G608">
        <v>1</v>
      </c>
      <c r="H608"/>
      <c r="I608">
        <v>1</v>
      </c>
      <c r="J608" t="inlineStr">
        <is>
          <t>Check if clicking on a chapter in the list navigates to the correct chapter content</t>
        </is>
      </c>
      <c r="K608" t="inlineStr">
        <is>
          <t>检查点击列表中的章节是否跳转至对应的章节内容</t>
        </is>
      </c>
      <c r="L608" s="2" t="str">
        <f>=HYPERLINK("http://pre.mgx.dev/chat/9c4d431da5b145d79951b39d0095a6f5", "http://pre.mgx.dev/chat/9c4d431da5b145d79951b39d0095a6f5")</f>
        <v>http://pre.mgx.dev/chat/9c4d431da5b145d79951b39d0095a6f5</v>
      </c>
      <c r="M608" s="2" t="str">
        <f>=HYPERLINK("", "https://45779-9c4d431da5b145d79951b39d0095a6f5-3-latest.app.beta.mgx.dev")</f>
        <v>https://45779-9c4d431da5b145d79951b39d0095a6f5-3-latest.app.beta.mgx.dev</v>
      </c>
      <c r="N608" s="2" t="str">
        <f>=HYPERLINK("mailto:eval_69@auto.com", "eval_69@auto.com")</f>
        <v>eval_69@auto.com</v>
      </c>
      <c r="O608" t="inlineStr">
        <is>
          <t>9c4d431da5b145d79951b39d0095a6f5</t>
        </is>
      </c>
    </row>
    <row r="609" ht="25.5" customHeight="1">
      <c r="A609" t="inlineStr">
        <is>
          <t>Story Display</t>
        </is>
      </c>
      <c r="B609">
        <v>47</v>
      </c>
      <c r="C609" t="inlineStr">
        <is>
          <t>@陈佳杰</t>
        </is>
      </c>
      <c r="D609">
        <v>1</v>
      </c>
      <c r="E609"/>
      <c r="F609" t="inlineStr">
        <is>
          <t>@杨春玉</t>
        </is>
      </c>
      <c r="G609">
        <v>1</v>
      </c>
      <c r="H609"/>
      <c r="I609">
        <v>2</v>
      </c>
      <c r="J609" t="inlineStr">
        <is>
          <t>Ensure all chapters are listed in the correct order</t>
        </is>
      </c>
      <c r="K609" t="inlineStr">
        <is>
          <t>确保所有章节按正确顺序排列</t>
        </is>
      </c>
      <c r="L609" s="2" t="str">
        <f>=HYPERLINK("http://pre.mgx.dev/chat/9c4d431da5b145d79951b39d0095a6f5", "http://pre.mgx.dev/chat/9c4d431da5b145d79951b39d0095a6f5")</f>
        <v>http://pre.mgx.dev/chat/9c4d431da5b145d79951b39d0095a6f5</v>
      </c>
      <c r="M609" s="2" t="str">
        <f>=HYPERLINK("", "https://45779-9c4d431da5b145d79951b39d0095a6f5-3-latest.app.beta.mgx.dev")</f>
        <v>https://45779-9c4d431da5b145d79951b39d0095a6f5-3-latest.app.beta.mgx.dev</v>
      </c>
      <c r="N609" s="2" t="str">
        <f>=HYPERLINK("mailto:eval_69@auto.com", "eval_69@auto.com")</f>
        <v>eval_69@auto.com</v>
      </c>
      <c r="O609" t="inlineStr">
        <is>
          <t>9c4d431da5b145d79951b39d0095a6f5</t>
        </is>
      </c>
    </row>
    <row r="610" ht="25.5" customHeight="1">
      <c r="A610" t="inlineStr">
        <is>
          <t>Story Display</t>
        </is>
      </c>
      <c r="B610">
        <v>47</v>
      </c>
      <c r="C610" t="inlineStr">
        <is>
          <t>@陈佳杰</t>
        </is>
      </c>
      <c r="D610">
        <v>1</v>
      </c>
      <c r="E610"/>
      <c r="F610" t="inlineStr">
        <is>
          <t>@杨春玉</t>
        </is>
      </c>
      <c r="G610">
        <v>1</v>
      </c>
      <c r="H610"/>
      <c r="I610">
        <v>3</v>
      </c>
      <c r="J610" t="inlineStr">
        <is>
          <t>Verify chapter list is displayed on the webpage</t>
        </is>
      </c>
      <c r="K610" t="inlineStr">
        <is>
          <t>验证网页上展示章节列表</t>
        </is>
      </c>
      <c r="L610" s="2" t="str">
        <f>=HYPERLINK("http://pre.mgx.dev/chat/9c4d431da5b145d79951b39d0095a6f5", "http://pre.mgx.dev/chat/9c4d431da5b145d79951b39d0095a6f5")</f>
        <v>http://pre.mgx.dev/chat/9c4d431da5b145d79951b39d0095a6f5</v>
      </c>
      <c r="M610" s="2" t="str">
        <f>=HYPERLINK("", "https://45779-9c4d431da5b145d79951b39d0095a6f5-3-latest.app.beta.mgx.dev")</f>
        <v>https://45779-9c4d431da5b145d79951b39d0095a6f5-3-latest.app.beta.mgx.dev</v>
      </c>
      <c r="N610" s="2" t="str">
        <f>=HYPERLINK("mailto:eval_69@auto.com", "eval_69@auto.com")</f>
        <v>eval_69@auto.com</v>
      </c>
      <c r="O610" t="inlineStr">
        <is>
          <t>9c4d431da5b145d79951b39d0095a6f5</t>
        </is>
      </c>
    </row>
    <row r="611" ht="25.5" customHeight="1">
      <c r="A611" t="inlineStr">
        <is>
          <t>Story Display</t>
        </is>
      </c>
      <c r="B611">
        <v>47</v>
      </c>
      <c r="C611" t="inlineStr">
        <is>
          <t>@陈佳杰</t>
        </is>
      </c>
      <c r="D611">
        <v>1</v>
      </c>
      <c r="E611"/>
      <c r="F611" t="inlineStr">
        <is>
          <t>@杨春玉</t>
        </is>
      </c>
      <c r="G611">
        <v>0</v>
      </c>
      <c r="H611" t="inlineStr">
        <is>
          <t>存在图裂问题</t>
        </is>
      </c>
      <c r="I611">
        <v>4</v>
      </c>
      <c r="J611" t="inlineStr">
        <is>
          <t>Verify text content is displayed correctly in the content area</t>
        </is>
      </c>
      <c r="K611" t="inlineStr">
        <is>
          <t>验证内容区域中文本内容正确展示</t>
        </is>
      </c>
      <c r="L611" s="2" t="str">
        <f>=HYPERLINK("http://pre.mgx.dev/chat/9c4d431da5b145d79951b39d0095a6f5", "http://pre.mgx.dev/chat/9c4d431da5b145d79951b39d0095a6f5")</f>
        <v>http://pre.mgx.dev/chat/9c4d431da5b145d79951b39d0095a6f5</v>
      </c>
      <c r="M611" s="2" t="str">
        <f>=HYPERLINK("", "https://45779-9c4d431da5b145d79951b39d0095a6f5-3-latest.app.beta.mgx.dev")</f>
        <v>https://45779-9c4d431da5b145d79951b39d0095a6f5-3-latest.app.beta.mgx.dev</v>
      </c>
      <c r="N611" s="2" t="str">
        <f>=HYPERLINK("mailto:eval_69@auto.com", "eval_69@auto.com")</f>
        <v>eval_69@auto.com</v>
      </c>
      <c r="O611" t="inlineStr">
        <is>
          <t>9c4d431da5b145d79951b39d0095a6f5</t>
        </is>
      </c>
    </row>
    <row r="612" ht="25.5" customHeight="1">
      <c r="A612" t="inlineStr">
        <is>
          <t>Tech Blog Platform</t>
        </is>
      </c>
      <c r="B612">
        <v>48</v>
      </c>
      <c r="C612" t="inlineStr">
        <is>
          <t>@陈佳杰</t>
        </is>
      </c>
      <c r="D612">
        <v>0</v>
      </c>
      <c r="E612" t="inlineStr">
        <is>
          <t>无法滚动</t>
        </is>
      </c>
      <c r="F612" t="inlineStr">
        <is>
          <t>@杨春玉</t>
        </is>
      </c>
      <c r="G612">
        <v>0</v>
      </c>
      <c r="H612" t="inlineStr">
        <is>
          <t>点击目录项后无法滚动至文章对应的章节</t>
        </is>
      </c>
      <c r="I612">
        <v>1</v>
      </c>
      <c r="J612" t="inlineStr">
        <is>
          <t>Check if clicking on a Table of Contents item scrolls to the corresponding section in the article</t>
        </is>
      </c>
      <c r="K612" t="inlineStr">
        <is>
          <t>检查点击目录项是否滚动至文章对应的章节</t>
        </is>
      </c>
      <c r="L612" s="2" t="str">
        <f>=HYPERLINK("http://pre.mgx.dev/chat/4e4c53f8526b4e6f8bdc7d3271267de4", "http://pre.mgx.dev/chat/4e4c53f8526b4e6f8bdc7d3271267de4")</f>
        <v>http://pre.mgx.dev/chat/4e4c53f8526b4e6f8bdc7d3271267de4</v>
      </c>
      <c r="M612" s="2" t="str">
        <f>=HYPERLINK("", "https://45789-4e4c53f8526b4e6f8bdc7d3271267de4-3-latest.app.beta.mgx.dev")</f>
        <v>https://45789-4e4c53f8526b4e6f8bdc7d3271267de4-3-latest.app.beta.mgx.dev</v>
      </c>
      <c r="N612" s="2" t="str">
        <f>=HYPERLINK("mailto:eval_79@auto.com", "eval_79@auto.com")</f>
        <v>eval_79@auto.com</v>
      </c>
      <c r="O612" t="inlineStr">
        <is>
          <t>4e4c53f8526b4e6f8bdc7d3271267de4</t>
        </is>
      </c>
    </row>
    <row r="613" ht="25.5" customHeight="1">
      <c r="A613" t="inlineStr">
        <is>
          <t>Tech Blog Platform</t>
        </is>
      </c>
      <c r="B613">
        <v>48</v>
      </c>
      <c r="C613" t="inlineStr">
        <is>
          <t>@陈佳杰</t>
        </is>
      </c>
      <c r="D613">
        <v>1</v>
      </c>
      <c r="E613"/>
      <c r="F613" t="inlineStr">
        <is>
          <t>@杨春玉</t>
        </is>
      </c>
      <c r="G613">
        <v>1</v>
      </c>
      <c r="H613"/>
      <c r="I613">
        <v>2</v>
      </c>
      <c r="J613" t="inlineStr">
        <is>
          <t>Check if each blog post on the Article List Page shows a summary</t>
        </is>
      </c>
      <c r="K613" t="inlineStr">
        <is>
          <t>检查文章列表页的每篇博客文章是否展示摘要</t>
        </is>
      </c>
      <c r="L613" s="2" t="str">
        <f>=HYPERLINK("http://pre.mgx.dev/chat/4e4c53f8526b4e6f8bdc7d3271267de4", "http://pre.mgx.dev/chat/4e4c53f8526b4e6f8bdc7d3271267de4")</f>
        <v>http://pre.mgx.dev/chat/4e4c53f8526b4e6f8bdc7d3271267de4</v>
      </c>
      <c r="M613" s="2" t="str">
        <f>=HYPERLINK("", "https://45789-4e4c53f8526b4e6f8bdc7d3271267de4-3-latest.app.beta.mgx.dev")</f>
        <v>https://45789-4e4c53f8526b4e6f8bdc7d3271267de4-3-latest.app.beta.mgx.dev</v>
      </c>
      <c r="N613" s="2" t="str">
        <f>=HYPERLINK("mailto:eval_79@auto.com", "eval_79@auto.com")</f>
        <v>eval_79@auto.com</v>
      </c>
      <c r="O613" t="inlineStr">
        <is>
          <t>4e4c53f8526b4e6f8bdc7d3271267de4</t>
        </is>
      </c>
    </row>
    <row r="614" ht="25.5" customHeight="1">
      <c r="A614" t="inlineStr">
        <is>
          <t>Tech Blog Platform</t>
        </is>
      </c>
      <c r="B614">
        <v>48</v>
      </c>
      <c r="C614" t="inlineStr">
        <is>
          <t>@陈佳杰</t>
        </is>
      </c>
      <c r="D614">
        <v>1</v>
      </c>
      <c r="E614"/>
      <c r="F614" t="inlineStr">
        <is>
          <t>@杨春玉</t>
        </is>
      </c>
      <c r="G614">
        <v>1</v>
      </c>
      <c r="H614"/>
      <c r="I614">
        <v>3</v>
      </c>
      <c r="J614" t="inlineStr">
        <is>
          <t>Check if the category filtering system works correctly with multiple categories</t>
        </is>
      </c>
      <c r="K614" t="inlineStr">
        <is>
          <t>检查分类筛选系统在多选分类时功能正常</t>
        </is>
      </c>
      <c r="L614" s="2" t="str">
        <f>=HYPERLINK("http://pre.mgx.dev/chat/4e4c53f8526b4e6f8bdc7d3271267de4", "http://pre.mgx.dev/chat/4e4c53f8526b4e6f8bdc7d3271267de4")</f>
        <v>http://pre.mgx.dev/chat/4e4c53f8526b4e6f8bdc7d3271267de4</v>
      </c>
      <c r="M614" s="2" t="str">
        <f>=HYPERLINK("", "https://45789-4e4c53f8526b4e6f8bdc7d3271267de4-3-latest.app.beta.mgx.dev")</f>
        <v>https://45789-4e4c53f8526b4e6f8bdc7d3271267de4-3-latest.app.beta.mgx.dev</v>
      </c>
      <c r="N614" s="2" t="str">
        <f>=HYPERLINK("mailto:eval_79@auto.com", "eval_79@auto.com")</f>
        <v>eval_79@auto.com</v>
      </c>
      <c r="O614" t="inlineStr">
        <is>
          <t>4e4c53f8526b4e6f8bdc7d3271267de4</t>
        </is>
      </c>
    </row>
    <row r="615" ht="25.5" customHeight="1">
      <c r="A615" t="inlineStr">
        <is>
          <t>Tech Blog Platform</t>
        </is>
      </c>
      <c r="B615">
        <v>48</v>
      </c>
      <c r="C615" t="inlineStr">
        <is>
          <t>@陈佳杰</t>
        </is>
      </c>
      <c r="D615">
        <v>1</v>
      </c>
      <c r="E615"/>
      <c r="F615" t="inlineStr">
        <is>
          <t>@杨春玉</t>
        </is>
      </c>
      <c r="G615">
        <v>1</v>
      </c>
      <c r="H615"/>
      <c r="I615">
        <v>4</v>
      </c>
      <c r="J615" t="inlineStr">
        <is>
          <t>Ensure that category tags are visible for each blog post on the Article List Page</t>
        </is>
      </c>
      <c r="K615" t="inlineStr">
        <is>
          <t>确保文章列表页的每篇博客文章均展示分类标签</t>
        </is>
      </c>
      <c r="L615" s="2" t="str">
        <f>=HYPERLINK("http://pre.mgx.dev/chat/4e4c53f8526b4e6f8bdc7d3271267de4", "http://pre.mgx.dev/chat/4e4c53f8526b4e6f8bdc7d3271267de4")</f>
        <v>http://pre.mgx.dev/chat/4e4c53f8526b4e6f8bdc7d3271267de4</v>
      </c>
      <c r="M615" s="2" t="str">
        <f>=HYPERLINK("", "https://45789-4e4c53f8526b4e6f8bdc7d3271267de4-3-latest.app.beta.mgx.dev")</f>
        <v>https://45789-4e4c53f8526b4e6f8bdc7d3271267de4-3-latest.app.beta.mgx.dev</v>
      </c>
      <c r="N615" s="2" t="str">
        <f>=HYPERLINK("mailto:eval_79@auto.com", "eval_79@auto.com")</f>
        <v>eval_79@auto.com</v>
      </c>
      <c r="O615" t="inlineStr">
        <is>
          <t>4e4c53f8526b4e6f8bdc7d3271267de4</t>
        </is>
      </c>
    </row>
    <row r="616" ht="25.5" customHeight="1">
      <c r="A616" t="inlineStr">
        <is>
          <t>Tech Blog Platform</t>
        </is>
      </c>
      <c r="B616">
        <v>48</v>
      </c>
      <c r="C616" t="inlineStr">
        <is>
          <t>@陈佳杰</t>
        </is>
      </c>
      <c r="D616">
        <v>1</v>
      </c>
      <c r="E616"/>
      <c r="F616" t="inlineStr">
        <is>
          <t>@杨春玉</t>
        </is>
      </c>
      <c r="G616">
        <v>1</v>
      </c>
      <c r="H616"/>
      <c r="I616">
        <v>5</v>
      </c>
      <c r="J616" t="inlineStr">
        <is>
          <t>Ensure that non-code Markdown elements (headers, lists, links) are rendered correctly</t>
        </is>
      </c>
      <c r="K616" t="inlineStr">
        <is>
          <t>确保非代码类Markdown元素（标题、列表、链接）渲染正常</t>
        </is>
      </c>
      <c r="L616" s="2" t="str">
        <f>=HYPERLINK("http://pre.mgx.dev/chat/4e4c53f8526b4e6f8bdc7d3271267de4", "http://pre.mgx.dev/chat/4e4c53f8526b4e6f8bdc7d3271267de4")</f>
        <v>http://pre.mgx.dev/chat/4e4c53f8526b4e6f8bdc7d3271267de4</v>
      </c>
      <c r="M616" s="2" t="str">
        <f>=HYPERLINK("", "https://45789-4e4c53f8526b4e6f8bdc7d3271267de4-3-latest.app.beta.mgx.dev")</f>
        <v>https://45789-4e4c53f8526b4e6f8bdc7d3271267de4-3-latest.app.beta.mgx.dev</v>
      </c>
      <c r="N616" s="2" t="str">
        <f>=HYPERLINK("mailto:eval_79@auto.com", "eval_79@auto.com")</f>
        <v>eval_79@auto.com</v>
      </c>
      <c r="O616" t="inlineStr">
        <is>
          <t>4e4c53f8526b4e6f8bdc7d3271267de4</t>
        </is>
      </c>
    </row>
    <row r="617" ht="25.5" customHeight="1">
      <c r="A617" t="inlineStr">
        <is>
          <t>Tech Blog Platform</t>
        </is>
      </c>
      <c r="B617">
        <v>48</v>
      </c>
      <c r="C617" t="inlineStr">
        <is>
          <t>@陈佳杰</t>
        </is>
      </c>
      <c r="D617">
        <v>0</v>
      </c>
      <c r="E617" t="inlineStr">
        <is>
          <t>无法修改文章</t>
        </is>
      </c>
      <c r="F617" t="inlineStr">
        <is>
          <t>@杨春玉</t>
        </is>
      </c>
      <c r="G617">
        <v>1</v>
      </c>
      <c r="H617"/>
      <c r="I617">
        <v>6</v>
      </c>
      <c r="J617" t="inlineStr">
        <is>
          <t>Ensure that the Table of Contents is updated if the article content changes</t>
        </is>
      </c>
      <c r="K617" t="inlineStr">
        <is>
          <t>确保文章内容修改后目录同步更新</t>
        </is>
      </c>
      <c r="L617" s="2" t="str">
        <f>=HYPERLINK("http://pre.mgx.dev/chat/4e4c53f8526b4e6f8bdc7d3271267de4", "http://pre.mgx.dev/chat/4e4c53f8526b4e6f8bdc7d3271267de4")</f>
        <v>http://pre.mgx.dev/chat/4e4c53f8526b4e6f8bdc7d3271267de4</v>
      </c>
      <c r="M617" s="2" t="str">
        <f>=HYPERLINK("", "https://45789-4e4c53f8526b4e6f8bdc7d3271267de4-3-latest.app.beta.mgx.dev")</f>
        <v>https://45789-4e4c53f8526b4e6f8bdc7d3271267de4-3-latest.app.beta.mgx.dev</v>
      </c>
      <c r="N617" s="2" t="str">
        <f>=HYPERLINK("mailto:eval_79@auto.com", "eval_79@auto.com")</f>
        <v>eval_79@auto.com</v>
      </c>
      <c r="O617" t="inlineStr">
        <is>
          <t>4e4c53f8526b4e6f8bdc7d3271267de4</t>
        </is>
      </c>
    </row>
    <row r="618" ht="25.5" customHeight="1">
      <c r="A618" t="inlineStr">
        <is>
          <t>Tech Blog Platform</t>
        </is>
      </c>
      <c r="B618">
        <v>48</v>
      </c>
      <c r="C618" t="inlineStr">
        <is>
          <t>@陈佳杰</t>
        </is>
      </c>
      <c r="D618">
        <v>1</v>
      </c>
      <c r="E618"/>
      <c r="F618" t="inlineStr">
        <is>
          <t>@杨春玉</t>
        </is>
      </c>
      <c r="G618">
        <v>1</v>
      </c>
      <c r="H618"/>
      <c r="I618">
        <v>7</v>
      </c>
      <c r="J618" t="inlineStr">
        <is>
          <t>Test if clicking a category tag filters the Article List to show only posts in that category</t>
        </is>
      </c>
      <c r="K618" t="inlineStr">
        <is>
          <t>测试点击分类标签后，文章列表仅展示该分类下的文章</t>
        </is>
      </c>
      <c r="L618" s="2" t="str">
        <f>=HYPERLINK("http://pre.mgx.dev/chat/4e4c53f8526b4e6f8bdc7d3271267de4", "http://pre.mgx.dev/chat/4e4c53f8526b4e6f8bdc7d3271267de4")</f>
        <v>http://pre.mgx.dev/chat/4e4c53f8526b4e6f8bdc7d3271267de4</v>
      </c>
      <c r="M618" s="2" t="str">
        <f>=HYPERLINK("", "https://45789-4e4c53f8526b4e6f8bdc7d3271267de4-3-latest.app.beta.mgx.dev")</f>
        <v>https://45789-4e4c53f8526b4e6f8bdc7d3271267de4-3-latest.app.beta.mgx.dev</v>
      </c>
      <c r="N618" s="2" t="str">
        <f>=HYPERLINK("mailto:eval_79@auto.com", "eval_79@auto.com")</f>
        <v>eval_79@auto.com</v>
      </c>
      <c r="O618" t="inlineStr">
        <is>
          <t>4e4c53f8526b4e6f8bdc7d3271267de4</t>
        </is>
      </c>
    </row>
    <row r="619" ht="25.5" customHeight="1">
      <c r="A619" t="inlineStr">
        <is>
          <t>Tech Blog Platform</t>
        </is>
      </c>
      <c r="B619">
        <v>48</v>
      </c>
      <c r="C619" t="inlineStr">
        <is>
          <t>@陈佳杰</t>
        </is>
      </c>
      <c r="D619">
        <v>1</v>
      </c>
      <c r="E619"/>
      <c r="F619" t="inlineStr">
        <is>
          <t>@杨春玉</t>
        </is>
      </c>
      <c r="G619">
        <v>1</v>
      </c>
      <c r="H619"/>
      <c r="I619">
        <v>8</v>
      </c>
      <c r="J619" t="inlineStr">
        <is>
          <t>Test if clicking on a blog post title navigates to the Article Detail Page</t>
        </is>
      </c>
      <c r="K619" t="inlineStr">
        <is>
          <t>测试点击博客文章标题跳转至文章详情页</t>
        </is>
      </c>
      <c r="L619" s="2" t="str">
        <f>=HYPERLINK("http://pre.mgx.dev/chat/4e4c53f8526b4e6f8bdc7d3271267de4", "http://pre.mgx.dev/chat/4e4c53f8526b4e6f8bdc7d3271267de4")</f>
        <v>http://pre.mgx.dev/chat/4e4c53f8526b4e6f8bdc7d3271267de4</v>
      </c>
      <c r="M619" s="2" t="str">
        <f>=HYPERLINK("", "https://45789-4e4c53f8526b4e6f8bdc7d3271267de4-3-latest.app.beta.mgx.dev")</f>
        <v>https://45789-4e4c53f8526b4e6f8bdc7d3271267de4-3-latest.app.beta.mgx.dev</v>
      </c>
      <c r="N619" s="2" t="str">
        <f>=HYPERLINK("mailto:eval_79@auto.com", "eval_79@auto.com")</f>
        <v>eval_79@auto.com</v>
      </c>
      <c r="O619" t="inlineStr">
        <is>
          <t>4e4c53f8526b4e6f8bdc7d3271267de4</t>
        </is>
      </c>
    </row>
    <row r="620" ht="25.5" customHeight="1">
      <c r="A620" t="inlineStr">
        <is>
          <t>Tech Blog Platform</t>
        </is>
      </c>
      <c r="B620">
        <v>48</v>
      </c>
      <c r="C620" t="inlineStr">
        <is>
          <t>@陈佳杰</t>
        </is>
      </c>
      <c r="D620">
        <v>1</v>
      </c>
      <c r="E620"/>
      <c r="F620" t="inlineStr">
        <is>
          <t>@杨春玉</t>
        </is>
      </c>
      <c r="G620">
        <v>0</v>
      </c>
      <c r="H620" t="inlineStr">
        <is>
          <t>第三篇文章未显示目录</t>
        </is>
      </c>
      <c r="I620">
        <v>9</v>
      </c>
      <c r="J620" t="inlineStr">
        <is>
          <t>Verify that a Table of Contents is present on the Article Detail Page</t>
        </is>
      </c>
      <c r="K620" t="inlineStr">
        <is>
          <t>验证文章详情页上存在目录</t>
        </is>
      </c>
      <c r="L620" s="2" t="str">
        <f>=HYPERLINK("http://pre.mgx.dev/chat/4e4c53f8526b4e6f8bdc7d3271267de4", "http://pre.mgx.dev/chat/4e4c53f8526b4e6f8bdc7d3271267de4")</f>
        <v>http://pre.mgx.dev/chat/4e4c53f8526b4e6f8bdc7d3271267de4</v>
      </c>
      <c r="M620" s="2" t="str">
        <f>=HYPERLINK("", "https://45789-4e4c53f8526b4e6f8bdc7d3271267de4-3-latest.app.beta.mgx.dev")</f>
        <v>https://45789-4e4c53f8526b4e6f8bdc7d3271267de4-3-latest.app.beta.mgx.dev</v>
      </c>
      <c r="N620" s="2" t="str">
        <f>=HYPERLINK("mailto:eval_79@auto.com", "eval_79@auto.com")</f>
        <v>eval_79@auto.com</v>
      </c>
      <c r="O620" t="inlineStr">
        <is>
          <t>4e4c53f8526b4e6f8bdc7d3271267de4</t>
        </is>
      </c>
    </row>
    <row r="621" ht="25.5" customHeight="1">
      <c r="A621" t="inlineStr">
        <is>
          <t>Tech Blog Platform</t>
        </is>
      </c>
      <c r="B621">
        <v>48</v>
      </c>
      <c r="C621" t="inlineStr">
        <is>
          <t>@陈佳杰</t>
        </is>
      </c>
      <c r="D621">
        <v>1</v>
      </c>
      <c r="E621"/>
      <c r="F621" t="inlineStr">
        <is>
          <t>@杨春玉</t>
        </is>
      </c>
      <c r="G621">
        <v>1</v>
      </c>
      <c r="H621"/>
      <c r="I621">
        <v>10</v>
      </c>
      <c r="J621" t="inlineStr">
        <is>
          <t>Verify that category tags are clickable on the Article List Page</t>
        </is>
      </c>
      <c r="K621" t="inlineStr">
        <is>
          <t>验证文章列表页的分类标签可点击</t>
        </is>
      </c>
      <c r="L621" s="2" t="str">
        <f>=HYPERLINK("http://pre.mgx.dev/chat/4e4c53f8526b4e6f8bdc7d3271267de4", "http://pre.mgx.dev/chat/4e4c53f8526b4e6f8bdc7d3271267de4")</f>
        <v>http://pre.mgx.dev/chat/4e4c53f8526b4e6f8bdc7d3271267de4</v>
      </c>
      <c r="M621" s="2" t="str">
        <f>=HYPERLINK("", "https://45789-4e4c53f8526b4e6f8bdc7d3271267de4-3-latest.app.beta.mgx.dev")</f>
        <v>https://45789-4e4c53f8526b4e6f8bdc7d3271267de4-3-latest.app.beta.mgx.dev</v>
      </c>
      <c r="N621" s="2" t="str">
        <f>=HYPERLINK("mailto:eval_79@auto.com", "eval_79@auto.com")</f>
        <v>eval_79@auto.com</v>
      </c>
      <c r="O621" t="inlineStr">
        <is>
          <t>4e4c53f8526b4e6f8bdc7d3271267de4</t>
        </is>
      </c>
    </row>
    <row r="622" ht="25.5" customHeight="1">
      <c r="A622" t="inlineStr">
        <is>
          <t>Tech Blog Platform</t>
        </is>
      </c>
      <c r="B622">
        <v>48</v>
      </c>
      <c r="C622" t="inlineStr">
        <is>
          <t>@陈佳杰</t>
        </is>
      </c>
      <c r="D622">
        <v>1</v>
      </c>
      <c r="E622"/>
      <c r="F622" t="inlineStr">
        <is>
          <t>@杨春玉</t>
        </is>
      </c>
      <c r="G622">
        <v>1</v>
      </c>
      <c r="H622"/>
      <c r="I622">
        <v>11</v>
      </c>
      <c r="J622" t="inlineStr">
        <is>
          <t>Verify that the Article Detail Page renders Markdown content correctly</t>
        </is>
      </c>
      <c r="K622" t="inlineStr">
        <is>
          <t>验证文章详情页正确渲染Markdown内容</t>
        </is>
      </c>
      <c r="L622" s="2" t="str">
        <f>=HYPERLINK("http://pre.mgx.dev/chat/4e4c53f8526b4e6f8bdc7d3271267de4", "http://pre.mgx.dev/chat/4e4c53f8526b4e6f8bdc7d3271267de4")</f>
        <v>http://pre.mgx.dev/chat/4e4c53f8526b4e6f8bdc7d3271267de4</v>
      </c>
      <c r="M622" s="2" t="str">
        <f>=HYPERLINK("", "https://45789-4e4c53f8526b4e6f8bdc7d3271267de4-3-latest.app.beta.mgx.dev")</f>
        <v>https://45789-4e4c53f8526b4e6f8bdc7d3271267de4-3-latest.app.beta.mgx.dev</v>
      </c>
      <c r="N622" s="2" t="str">
        <f>=HYPERLINK("mailto:eval_79@auto.com", "eval_79@auto.com")</f>
        <v>eval_79@auto.com</v>
      </c>
      <c r="O622" t="inlineStr">
        <is>
          <t>4e4c53f8526b4e6f8bdc7d3271267de4</t>
        </is>
      </c>
    </row>
    <row r="623" ht="25.5" customHeight="1">
      <c r="A623" t="inlineStr">
        <is>
          <t>Tech Blog Platform</t>
        </is>
      </c>
      <c r="B623">
        <v>48</v>
      </c>
      <c r="C623" t="inlineStr">
        <is>
          <t>@陈佳杰</t>
        </is>
      </c>
      <c r="D623">
        <v>1</v>
      </c>
      <c r="E623"/>
      <c r="F623" t="inlineStr">
        <is>
          <t>@杨春玉</t>
        </is>
      </c>
      <c r="G623">
        <v>1</v>
      </c>
      <c r="H623"/>
      <c r="I623">
        <v>12</v>
      </c>
      <c r="J623" t="inlineStr">
        <is>
          <t>Verify that the Article List Page displays all blog post titles</t>
        </is>
      </c>
      <c r="K623" t="inlineStr">
        <is>
          <t>验证文章列表页展示所有博客文章标题</t>
        </is>
      </c>
      <c r="L623" s="2" t="str">
        <f>=HYPERLINK("http://pre.mgx.dev/chat/4e4c53f8526b4e6f8bdc7d3271267de4", "http://pre.mgx.dev/chat/4e4c53f8526b4e6f8bdc7d3271267de4")</f>
        <v>http://pre.mgx.dev/chat/4e4c53f8526b4e6f8bdc7d3271267de4</v>
      </c>
      <c r="M623" s="2" t="str">
        <f>=HYPERLINK("", "https://45789-4e4c53f8526b4e6f8bdc7d3271267de4-3-latest.app.beta.mgx.dev")</f>
        <v>https://45789-4e4c53f8526b4e6f8bdc7d3271267de4-3-latest.app.beta.mgx.dev</v>
      </c>
      <c r="N623" s="2" t="str">
        <f>=HYPERLINK("mailto:eval_79@auto.com", "eval_79@auto.com")</f>
        <v>eval_79@auto.com</v>
      </c>
      <c r="O623" t="inlineStr">
        <is>
          <t>4e4c53f8526b4e6f8bdc7d3271267de4</t>
        </is>
      </c>
    </row>
    <row r="624" ht="25.5" customHeight="1">
      <c r="A624" t="inlineStr">
        <is>
          <t>Travel Blog</t>
        </is>
      </c>
      <c r="B624">
        <v>49</v>
      </c>
      <c r="C624" t="inlineStr">
        <is>
          <t>@陈佳杰</t>
        </is>
      </c>
      <c r="D624">
        <v>0</v>
      </c>
      <c r="E624" t="inlineStr">
        <is>
          <t>无法预览</t>
        </is>
      </c>
      <c r="F624" t="inlineStr">
        <is>
          <t>@杨春玉</t>
        </is>
      </c>
      <c r="G624">
        <v>0</v>
      </c>
      <c r="H624" t="inlineStr">
        <is>
          <t>无该功能</t>
        </is>
      </c>
      <c r="I624">
        <v>1</v>
      </c>
      <c r="J624" t="inlineStr">
        <is>
          <t>Check if clicking on an image in the gallery opens a preview</t>
        </is>
      </c>
      <c r="K624" t="inlineStr">
        <is>
          <t>检查点击画廊中的图片是否打开预览</t>
        </is>
      </c>
      <c r="L624" s="2" t="str">
        <f>=HYPERLINK("http://pre.mgx.dev/chat/2c54e359543d40a58ebd4c7ce0a04548", "http://pre.mgx.dev/chat/2c54e359543d40a58ebd4c7ce0a04548")</f>
        <v>http://pre.mgx.dev/chat/2c54e359543d40a58ebd4c7ce0a04548</v>
      </c>
      <c r="M624" s="2" t="str">
        <f>=HYPERLINK("", "https://45787-2c54e359543d40a58ebd4c7ce0a04548-3-latest.app.beta.mgx.dev")</f>
        <v>https://45787-2c54e359543d40a58ebd4c7ce0a04548-3-latest.app.beta.mgx.dev</v>
      </c>
      <c r="N624" s="2" t="str">
        <f>=HYPERLINK("mailto:eval_77@auto.com", "eval_77@auto.com")</f>
        <v>eval_77@auto.com</v>
      </c>
      <c r="O624" t="inlineStr">
        <is>
          <t>2c54e359543d40a58ebd4c7ce0a04548</t>
        </is>
      </c>
    </row>
    <row r="625" ht="25.5" customHeight="1">
      <c r="A625" t="inlineStr">
        <is>
          <t>Travel Blog</t>
        </is>
      </c>
      <c r="B625">
        <v>49</v>
      </c>
      <c r="C625" t="inlineStr">
        <is>
          <t>@陈佳杰</t>
        </is>
      </c>
      <c r="D625">
        <v>0</v>
      </c>
      <c r="E625" t="inlineStr">
        <is>
          <t>无法预览</t>
        </is>
      </c>
      <c r="F625" t="inlineStr">
        <is>
          <t>@杨春玉</t>
        </is>
      </c>
      <c r="G625">
        <v>0</v>
      </c>
      <c r="H625" t="inlineStr">
        <is>
          <t>无该功能</t>
        </is>
      </c>
      <c r="I625">
        <v>2</v>
      </c>
      <c r="J625" t="inlineStr">
        <is>
          <t>Test if the image preview supports navigation between images</t>
        </is>
      </c>
      <c r="K625" t="inlineStr">
        <is>
          <t>测试图片预览支持图片间的导航</t>
        </is>
      </c>
      <c r="L625" s="2" t="str">
        <f>=HYPERLINK("http://pre.mgx.dev/chat/2c54e359543d40a58ebd4c7ce0a04548", "http://pre.mgx.dev/chat/2c54e359543d40a58ebd4c7ce0a04548")</f>
        <v>http://pre.mgx.dev/chat/2c54e359543d40a58ebd4c7ce0a04548</v>
      </c>
      <c r="M625" s="2" t="str">
        <f>=HYPERLINK("", "https://45787-2c54e359543d40a58ebd4c7ce0a04548-3-latest.app.beta.mgx.dev")</f>
        <v>https://45787-2c54e359543d40a58ebd4c7ce0a04548-3-latest.app.beta.mgx.dev</v>
      </c>
      <c r="N625" s="2" t="str">
        <f>=HYPERLINK("mailto:eval_77@auto.com", "eval_77@auto.com")</f>
        <v>eval_77@auto.com</v>
      </c>
      <c r="O625" t="inlineStr">
        <is>
          <t>2c54e359543d40a58ebd4c7ce0a04548</t>
        </is>
      </c>
    </row>
    <row r="626" ht="25.5" customHeight="1">
      <c r="A626" t="inlineStr">
        <is>
          <t>Travel Blog</t>
        </is>
      </c>
      <c r="B626">
        <v>49</v>
      </c>
      <c r="C626" t="inlineStr">
        <is>
          <t>@陈佳杰</t>
        </is>
      </c>
      <c r="D626">
        <v>1</v>
      </c>
      <c r="E626"/>
      <c r="F626" t="inlineStr">
        <is>
          <t>@杨春玉</t>
        </is>
      </c>
      <c r="G626">
        <v>1</v>
      </c>
      <c r="H626"/>
      <c r="I626">
        <v>3</v>
      </c>
      <c r="J626" t="inlineStr">
        <is>
          <t>Test if the timeline displays travel stories in chronological order</t>
        </is>
      </c>
      <c r="K626" t="inlineStr">
        <is>
          <t>测试时间线按时间顺序展示旅行故事</t>
        </is>
      </c>
      <c r="L626" s="2" t="str">
        <f>=HYPERLINK("http://pre.mgx.dev/chat/2c54e359543d40a58ebd4c7ce0a04548", "http://pre.mgx.dev/chat/2c54e359543d40a58ebd4c7ce0a04548")</f>
        <v>http://pre.mgx.dev/chat/2c54e359543d40a58ebd4c7ce0a04548</v>
      </c>
      <c r="M626" s="2" t="str">
        <f>=HYPERLINK("", "https://45787-2c54e359543d40a58ebd4c7ce0a04548-3-latest.app.beta.mgx.dev")</f>
        <v>https://45787-2c54e359543d40a58ebd4c7ce0a04548-3-latest.app.beta.mgx.dev</v>
      </c>
      <c r="N626" s="2" t="str">
        <f>=HYPERLINK("mailto:eval_77@auto.com", "eval_77@auto.com")</f>
        <v>eval_77@auto.com</v>
      </c>
      <c r="O626" t="inlineStr">
        <is>
          <t>2c54e359543d40a58ebd4c7ce0a04548</t>
        </is>
      </c>
    </row>
    <row r="627" ht="25.5" customHeight="1">
      <c r="A627" t="inlineStr">
        <is>
          <t>Travel Blog</t>
        </is>
      </c>
      <c r="B627">
        <v>49</v>
      </c>
      <c r="C627" t="inlineStr">
        <is>
          <t>@陈佳杰</t>
        </is>
      </c>
      <c r="D627">
        <v>1</v>
      </c>
      <c r="E627"/>
      <c r="F627" t="inlineStr">
        <is>
          <t>@杨春玉</t>
        </is>
      </c>
      <c r="G627">
        <v>1</v>
      </c>
      <c r="H627"/>
      <c r="I627">
        <v>4</v>
      </c>
      <c r="J627" t="inlineStr">
        <is>
          <t>Verify that the list of travel journal posts is displayed on the homepage</t>
        </is>
      </c>
      <c r="K627" t="inlineStr">
        <is>
          <t>验证首页展示旅行日志文章列表</t>
        </is>
      </c>
      <c r="L627" s="2" t="str">
        <f>=HYPERLINK("http://pre.mgx.dev/chat/2c54e359543d40a58ebd4c7ce0a04548", "http://pre.mgx.dev/chat/2c54e359543d40a58ebd4c7ce0a04548")</f>
        <v>http://pre.mgx.dev/chat/2c54e359543d40a58ebd4c7ce0a04548</v>
      </c>
      <c r="M627" s="2" t="str">
        <f>=HYPERLINK("", "https://45787-2c54e359543d40a58ebd4c7ce0a04548-3-latest.app.beta.mgx.dev")</f>
        <v>https://45787-2c54e359543d40a58ebd4c7ce0a04548-3-latest.app.beta.mgx.dev</v>
      </c>
      <c r="N627" s="2" t="str">
        <f>=HYPERLINK("mailto:eval_77@auto.com", "eval_77@auto.com")</f>
        <v>eval_77@auto.com</v>
      </c>
      <c r="O627" t="inlineStr">
        <is>
          <t>2c54e359543d40a58ebd4c7ce0a04548</t>
        </is>
      </c>
    </row>
    <row r="628" ht="25.5" customHeight="1">
      <c r="A628" t="inlineStr">
        <is>
          <t>Travel Blog</t>
        </is>
      </c>
      <c r="B628">
        <v>49</v>
      </c>
      <c r="C628" t="inlineStr">
        <is>
          <t>@陈佳杰</t>
        </is>
      </c>
      <c r="D628">
        <v>1</v>
      </c>
      <c r="E628"/>
      <c r="F628" t="inlineStr">
        <is>
          <t>@杨春玉</t>
        </is>
      </c>
      <c r="G628">
        <v>1</v>
      </c>
      <c r="H628"/>
      <c r="I628">
        <v>5</v>
      </c>
      <c r="J628" t="inlineStr">
        <is>
          <t>Check if each post in the list includes a title, summary, and cover image</t>
        </is>
      </c>
      <c r="K628" t="inlineStr">
        <is>
          <t>检查列表中的每篇文章均包含标题、摘要和封面图</t>
        </is>
      </c>
      <c r="L628" s="2" t="str">
        <f>=HYPERLINK("http://pre.mgx.dev/chat/2c54e359543d40a58ebd4c7ce0a04548", "http://pre.mgx.dev/chat/2c54e359543d40a58ebd4c7ce0a04548")</f>
        <v>http://pre.mgx.dev/chat/2c54e359543d40a58ebd4c7ce0a04548</v>
      </c>
      <c r="M628" s="2" t="str">
        <f>=HYPERLINK("", "https://45787-2c54e359543d40a58ebd4c7ce0a04548-3-latest.app.beta.mgx.dev")</f>
        <v>https://45787-2c54e359543d40a58ebd4c7ce0a04548-3-latest.app.beta.mgx.dev</v>
      </c>
      <c r="N628" s="2" t="str">
        <f>=HYPERLINK("mailto:eval_77@auto.com", "eval_77@auto.com")</f>
        <v>eval_77@auto.com</v>
      </c>
      <c r="O628" t="inlineStr">
        <is>
          <t>2c54e359543d40a58ebd4c7ce0a04548</t>
        </is>
      </c>
    </row>
    <row r="629" ht="25.5" customHeight="1">
      <c r="A629" t="inlineStr">
        <is>
          <t>Travel Blog</t>
        </is>
      </c>
      <c r="B629">
        <v>49</v>
      </c>
      <c r="C629" t="inlineStr">
        <is>
          <t>@陈佳杰</t>
        </is>
      </c>
      <c r="D629">
        <v>1</v>
      </c>
      <c r="E629"/>
      <c r="F629" t="inlineStr">
        <is>
          <t>@杨春玉</t>
        </is>
      </c>
      <c r="G629">
        <v>1</v>
      </c>
      <c r="H629"/>
      <c r="I629">
        <v>6</v>
      </c>
      <c r="J629" t="inlineStr">
        <is>
          <t>Ensure that clicking on a post in the list opens the full travel story</t>
        </is>
      </c>
      <c r="K629" t="inlineStr">
        <is>
          <t>确保点击列表中的文章可打开完整的旅行故事</t>
        </is>
      </c>
      <c r="L629" s="2" t="str">
        <f>=HYPERLINK("http://pre.mgx.dev/chat/2c54e359543d40a58ebd4c7ce0a04548", "http://pre.mgx.dev/chat/2c54e359543d40a58ebd4c7ce0a04548")</f>
        <v>http://pre.mgx.dev/chat/2c54e359543d40a58ebd4c7ce0a04548</v>
      </c>
      <c r="M629" s="2" t="str">
        <f>=HYPERLINK("", "https://45787-2c54e359543d40a58ebd4c7ce0a04548-3-latest.app.beta.mgx.dev")</f>
        <v>https://45787-2c54e359543d40a58ebd4c7ce0a04548-3-latest.app.beta.mgx.dev</v>
      </c>
      <c r="N629" s="2" t="str">
        <f>=HYPERLINK("mailto:eval_77@auto.com", "eval_77@auto.com")</f>
        <v>eval_77@auto.com</v>
      </c>
      <c r="O629" t="inlineStr">
        <is>
          <t>2c54e359543d40a58ebd4c7ce0a04548</t>
        </is>
      </c>
    </row>
    <row r="630" ht="25.5" customHeight="1">
      <c r="A630" t="inlineStr">
        <is>
          <t>Travel Blog</t>
        </is>
      </c>
      <c r="B630">
        <v>49</v>
      </c>
      <c r="C630" t="inlineStr">
        <is>
          <t>@陈佳杰</t>
        </is>
      </c>
      <c r="D630">
        <v>0</v>
      </c>
      <c r="E630" t="inlineStr">
        <is>
          <t>无法展示地图</t>
        </is>
      </c>
      <c r="F630" t="inlineStr">
        <is>
          <t>@杨春玉</t>
        </is>
      </c>
      <c r="G630">
        <v>0</v>
      </c>
      <c r="H630" t="inlineStr">
        <is>
          <t>地图展示空白</t>
        </is>
      </c>
      <c r="I630">
        <v>7</v>
      </c>
      <c r="J630" t="inlineStr">
        <is>
          <t>Verify that the map is displayed on the website</t>
        </is>
      </c>
      <c r="K630" t="inlineStr">
        <is>
          <t>验证网站上展示地图</t>
        </is>
      </c>
      <c r="L630" s="2" t="str">
        <f>=HYPERLINK("http://pre.mgx.dev/chat/2c54e359543d40a58ebd4c7ce0a04548", "http://pre.mgx.dev/chat/2c54e359543d40a58ebd4c7ce0a04548")</f>
        <v>http://pre.mgx.dev/chat/2c54e359543d40a58ebd4c7ce0a04548</v>
      </c>
      <c r="M630" s="2" t="str">
        <f>=HYPERLINK("", "https://45787-2c54e359543d40a58ebd4c7ce0a04548-3-latest.app.beta.mgx.dev")</f>
        <v>https://45787-2c54e359543d40a58ebd4c7ce0a04548-3-latest.app.beta.mgx.dev</v>
      </c>
      <c r="N630" s="2" t="str">
        <f>=HYPERLINK("mailto:eval_77@auto.com", "eval_77@auto.com")</f>
        <v>eval_77@auto.com</v>
      </c>
      <c r="O630" t="inlineStr">
        <is>
          <t>2c54e359543d40a58ebd4c7ce0a04548</t>
        </is>
      </c>
    </row>
    <row r="631" ht="25.5" customHeight="1">
      <c r="A631" t="inlineStr">
        <is>
          <t>Travel Blog</t>
        </is>
      </c>
      <c r="B631">
        <v>49</v>
      </c>
      <c r="C631" t="inlineStr">
        <is>
          <t>@陈佳杰</t>
        </is>
      </c>
      <c r="D631">
        <v>1</v>
      </c>
      <c r="E631"/>
      <c r="F631" t="inlineStr">
        <is>
          <t>@杨春玉</t>
        </is>
      </c>
      <c r="G631">
        <v>1</v>
      </c>
      <c r="H631"/>
      <c r="I631">
        <v>8</v>
      </c>
      <c r="J631" t="inlineStr">
        <is>
          <t>Check if map markers are present for each location mentioned in the travel stories</t>
        </is>
      </c>
      <c r="K631" t="inlineStr">
        <is>
          <t>检查旅行故事中提及的每个地点均在地图上有标记</t>
        </is>
      </c>
      <c r="L631" s="2" t="str">
        <f>=HYPERLINK("http://pre.mgx.dev/chat/2c54e359543d40a58ebd4c7ce0a04548", "http://pre.mgx.dev/chat/2c54e359543d40a58ebd4c7ce0a04548")</f>
        <v>http://pre.mgx.dev/chat/2c54e359543d40a58ebd4c7ce0a04548</v>
      </c>
      <c r="M631" s="2" t="str">
        <f>=HYPERLINK("", "https://45787-2c54e359543d40a58ebd4c7ce0a04548-3-latest.app.beta.mgx.dev")</f>
        <v>https://45787-2c54e359543d40a58ebd4c7ce0a04548-3-latest.app.beta.mgx.dev</v>
      </c>
      <c r="N631" s="2" t="str">
        <f>=HYPERLINK("mailto:eval_77@auto.com", "eval_77@auto.com")</f>
        <v>eval_77@auto.com</v>
      </c>
      <c r="O631" t="inlineStr">
        <is>
          <t>2c54e359543d40a58ebd4c7ce0a04548</t>
        </is>
      </c>
    </row>
    <row r="632" ht="25.5" customHeight="1">
      <c r="A632" t="inlineStr">
        <is>
          <t>Travel Blog</t>
        </is>
      </c>
      <c r="B632">
        <v>49</v>
      </c>
      <c r="C632" t="inlineStr">
        <is>
          <t>@陈佳杰</t>
        </is>
      </c>
      <c r="D632">
        <v>1</v>
      </c>
      <c r="E632"/>
      <c r="F632" t="inlineStr">
        <is>
          <t>@杨春玉</t>
        </is>
      </c>
      <c r="G632">
        <v>1</v>
      </c>
      <c r="H632"/>
      <c r="I632">
        <v>9</v>
      </c>
      <c r="J632" t="inlineStr">
        <is>
          <t>Verify that the food experience list module is present on the website</t>
        </is>
      </c>
      <c r="K632" t="inlineStr">
        <is>
          <t>验证网站上存在美食体验列表模块</t>
        </is>
      </c>
      <c r="L632" s="2" t="str">
        <f>=HYPERLINK("http://pre.mgx.dev/chat/2c54e359543d40a58ebd4c7ce0a04548", "http://pre.mgx.dev/chat/2c54e359543d40a58ebd4c7ce0a04548")</f>
        <v>http://pre.mgx.dev/chat/2c54e359543d40a58ebd4c7ce0a04548</v>
      </c>
      <c r="M632" s="2" t="str">
        <f>=HYPERLINK("", "https://45787-2c54e359543d40a58ebd4c7ce0a04548-3-latest.app.beta.mgx.dev")</f>
        <v>https://45787-2c54e359543d40a58ebd4c7ce0a04548-3-latest.app.beta.mgx.dev</v>
      </c>
      <c r="N632" s="2" t="str">
        <f>=HYPERLINK("mailto:eval_77@auto.com", "eval_77@auto.com")</f>
        <v>eval_77@auto.com</v>
      </c>
      <c r="O632" t="inlineStr">
        <is>
          <t>2c54e359543d40a58ebd4c7ce0a04548</t>
        </is>
      </c>
    </row>
    <row r="633" ht="25.5" customHeight="1">
      <c r="A633" t="inlineStr">
        <is>
          <t>Travel Blog</t>
        </is>
      </c>
      <c r="B633">
        <v>49</v>
      </c>
      <c r="C633" t="inlineStr">
        <is>
          <t>@陈佳杰</t>
        </is>
      </c>
      <c r="D633">
        <v>1</v>
      </c>
      <c r="E633"/>
      <c r="F633" t="inlineStr">
        <is>
          <t>@杨春玉</t>
        </is>
      </c>
      <c r="G633">
        <v>0</v>
      </c>
      <c r="H633" t="inlineStr">
        <is>
          <t>只显示了5个</t>
        </is>
      </c>
      <c r="I633">
        <v>10</v>
      </c>
      <c r="J633" t="inlineStr">
        <is>
          <t>Check if the food experience list contains entries from the Excel file</t>
        </is>
      </c>
      <c r="K633" t="inlineStr">
        <is>
          <t>检查美食体验列表包含Excel文件中的条目</t>
        </is>
      </c>
      <c r="L633" s="2" t="str">
        <f>=HYPERLINK("http://pre.mgx.dev/chat/2c54e359543d40a58ebd4c7ce0a04548", "http://pre.mgx.dev/chat/2c54e359543d40a58ebd4c7ce0a04548")</f>
        <v>http://pre.mgx.dev/chat/2c54e359543d40a58ebd4c7ce0a04548</v>
      </c>
      <c r="M633" s="2" t="str">
        <f>=HYPERLINK("", "https://45787-2c54e359543d40a58ebd4c7ce0a04548-3-latest.app.beta.mgx.dev")</f>
        <v>https://45787-2c54e359543d40a58ebd4c7ce0a04548-3-latest.app.beta.mgx.dev</v>
      </c>
      <c r="N633" s="2" t="str">
        <f>=HYPERLINK("mailto:eval_77@auto.com", "eval_77@auto.com")</f>
        <v>eval_77@auto.com</v>
      </c>
      <c r="O633" t="inlineStr">
        <is>
          <t>2c54e359543d40a58ebd4c7ce0a04548</t>
        </is>
      </c>
    </row>
    <row r="634" ht="25.5" customHeight="1">
      <c r="A634" t="inlineStr">
        <is>
          <t>Travel Blog</t>
        </is>
      </c>
      <c r="B634">
        <v>49</v>
      </c>
      <c r="C634" t="inlineStr">
        <is>
          <t>@陈佳杰</t>
        </is>
      </c>
      <c r="D634">
        <v>1</v>
      </c>
      <c r="E634"/>
      <c r="F634" t="inlineStr">
        <is>
          <t>@杨春玉</t>
        </is>
      </c>
      <c r="G634">
        <v>0</v>
      </c>
      <c r="H634" t="inlineStr">
        <is>
          <t>无该功能</t>
        </is>
      </c>
      <c r="I634">
        <v>11</v>
      </c>
      <c r="J634" t="inlineStr">
        <is>
          <t>Test if clicking on a food experience item shows more details</t>
        </is>
      </c>
      <c r="K634" t="inlineStr">
        <is>
          <t>测试点击美食体验项可展示更多详情</t>
        </is>
      </c>
      <c r="L634" s="2" t="str">
        <f>=HYPERLINK("http://pre.mgx.dev/chat/2c54e359543d40a58ebd4c7ce0a04548", "http://pre.mgx.dev/chat/2c54e359543d40a58ebd4c7ce0a04548")</f>
        <v>http://pre.mgx.dev/chat/2c54e359543d40a58ebd4c7ce0a04548</v>
      </c>
      <c r="M634" s="2" t="str">
        <f>=HYPERLINK("", "https://45787-2c54e359543d40a58ebd4c7ce0a04548-3-latest.app.beta.mgx.dev")</f>
        <v>https://45787-2c54e359543d40a58ebd4c7ce0a04548-3-latest.app.beta.mgx.dev</v>
      </c>
      <c r="N634" s="2" t="str">
        <f>=HYPERLINK("mailto:eval_77@auto.com", "eval_77@auto.com")</f>
        <v>eval_77@auto.com</v>
      </c>
      <c r="O634" t="inlineStr">
        <is>
          <t>2c54e359543d40a58ebd4c7ce0a04548</t>
        </is>
      </c>
    </row>
    <row r="635" ht="25.5" customHeight="1">
      <c r="A635" t="inlineStr">
        <is>
          <t>TurboRally</t>
        </is>
      </c>
      <c r="B635">
        <v>50</v>
      </c>
      <c r="C635" t="inlineStr">
        <is>
          <t>@陈佳杰</t>
        </is>
      </c>
      <c r="D635">
        <v>1</v>
      </c>
      <c r="E635"/>
      <c r="F635" t="inlineStr">
        <is>
          <t>@杨春玉</t>
        </is>
      </c>
      <c r="G635">
        <v>1</v>
      </c>
      <c r="H635"/>
      <c r="I635">
        <v>1</v>
      </c>
      <c r="J635" t="inlineStr">
        <is>
          <t>Check if each vehicle in the selection interface has distinct specifications (speed, handling, acceleration) displayed</t>
        </is>
      </c>
      <c r="K635" t="inlineStr">
        <is>
          <t>检查车辆选择界面中每辆车均展示独特的规格参数（速度、操控性、加速能力）</t>
        </is>
      </c>
      <c r="L635" s="2" t="str">
        <f>=HYPERLINK("http://pre.mgx.dev/chat/18f41e22761c4a449c6553e4fba512bf", "http://pre.mgx.dev/chat/18f41e22761c4a449c6553e4fba512bf")</f>
        <v>http://pre.mgx.dev/chat/18f41e22761c4a449c6553e4fba512bf</v>
      </c>
      <c r="M635" s="2" t="str">
        <f>=HYPERLINK("", "https://45802-18f41e22761c4a449c6553e4fba512bf-3-latest.app.beta.mgx.dev")</f>
        <v>https://45802-18f41e22761c4a449c6553e4fba512bf-3-latest.app.beta.mgx.dev</v>
      </c>
      <c r="N635" s="2" t="str">
        <f>=HYPERLINK("mailto:eval_92@auto.com", "eval_92@auto.com")</f>
        <v>eval_92@auto.com</v>
      </c>
      <c r="O635" t="inlineStr">
        <is>
          <t>18f41e22761c4a449c6553e4fba512bf</t>
        </is>
      </c>
    </row>
    <row r="636" ht="25.5" customHeight="1">
      <c r="A636" t="inlineStr">
        <is>
          <t>TurboRally</t>
        </is>
      </c>
      <c r="B636">
        <v>50</v>
      </c>
      <c r="C636" t="inlineStr">
        <is>
          <t>@陈佳杰</t>
        </is>
      </c>
      <c r="D636">
        <v>1</v>
      </c>
      <c r="E636"/>
      <c r="F636" t="inlineStr">
        <is>
          <t>@杨春玉</t>
        </is>
      </c>
      <c r="G636">
        <v>1</v>
      </c>
      <c r="H636"/>
      <c r="I636">
        <v>2</v>
      </c>
      <c r="J636" t="inlineStr">
        <is>
          <t>Check if the dashboard accurately displays current speed</t>
        </is>
      </c>
      <c r="K636" t="inlineStr">
        <is>
          <t>检查数据面板准确展示当前速度</t>
        </is>
      </c>
      <c r="L636" s="2" t="str">
        <f>=HYPERLINK("http://pre.mgx.dev/chat/18f41e22761c4a449c6553e4fba512bf", "http://pre.mgx.dev/chat/18f41e22761c4a449c6553e4fba512bf")</f>
        <v>http://pre.mgx.dev/chat/18f41e22761c4a449c6553e4fba512bf</v>
      </c>
      <c r="M636" s="2" t="str">
        <f>=HYPERLINK("", "https://45802-18f41e22761c4a449c6553e4fba512bf-3-latest.app.beta.mgx.dev")</f>
        <v>https://45802-18f41e22761c4a449c6553e4fba512bf-3-latest.app.beta.mgx.dev</v>
      </c>
      <c r="N636" s="2" t="str">
        <f>=HYPERLINK("mailto:eval_92@auto.com", "eval_92@auto.com")</f>
        <v>eval_92@auto.com</v>
      </c>
      <c r="O636" t="inlineStr">
        <is>
          <t>18f41e22761c4a449c6553e4fba512bf</t>
        </is>
      </c>
    </row>
    <row r="637" ht="25.5" customHeight="1">
      <c r="A637" t="inlineStr">
        <is>
          <t>TurboRally</t>
        </is>
      </c>
      <c r="B637">
        <v>50</v>
      </c>
      <c r="C637" t="inlineStr">
        <is>
          <t>@陈佳杰</t>
        </is>
      </c>
      <c r="D637">
        <v>1</v>
      </c>
      <c r="E637"/>
      <c r="F637" t="inlineStr">
        <is>
          <t>@杨春玉</t>
        </is>
      </c>
      <c r="G637">
        <v>0</v>
      </c>
      <c r="H637" t="inlineStr">
        <is>
          <t>排行榜按钮点击无反应</t>
        </is>
      </c>
      <c r="I637">
        <v>3</v>
      </c>
      <c r="J637" t="inlineStr">
        <is>
          <t>Confirm that a leaderboard is maintained and updated with player times for each track</t>
        </is>
      </c>
      <c r="K637" t="inlineStr">
        <is>
          <t>确认排行榜持续维护并更新玩家各赛道的成绩</t>
        </is>
      </c>
      <c r="L637" s="2" t="str">
        <f>=HYPERLINK("http://pre.mgx.dev/chat/18f41e22761c4a449c6553e4fba512bf", "http://pre.mgx.dev/chat/18f41e22761c4a449c6553e4fba512bf")</f>
        <v>http://pre.mgx.dev/chat/18f41e22761c4a449c6553e4fba512bf</v>
      </c>
      <c r="M637" s="2" t="str">
        <f>=HYPERLINK("", "https://45802-18f41e22761c4a449c6553e4fba512bf-3-latest.app.beta.mgx.dev")</f>
        <v>https://45802-18f41e22761c4a449c6553e4fba512bf-3-latest.app.beta.mgx.dev</v>
      </c>
      <c r="N637" s="2" t="str">
        <f>=HYPERLINK("mailto:eval_92@auto.com", "eval_92@auto.com")</f>
        <v>eval_92@auto.com</v>
      </c>
      <c r="O637" t="inlineStr">
        <is>
          <t>18f41e22761c4a449c6553e4fba512bf</t>
        </is>
      </c>
    </row>
    <row r="638" ht="25.5" customHeight="1">
      <c r="A638" t="inlineStr">
        <is>
          <t>TurboRally</t>
        </is>
      </c>
      <c r="B638">
        <v>50</v>
      </c>
      <c r="C638" t="inlineStr">
        <is>
          <t>@陈佳杰</t>
        </is>
      </c>
      <c r="D638">
        <v>1</v>
      </c>
      <c r="E638"/>
      <c r="F638" t="inlineStr">
        <is>
          <t>@杨春玉</t>
        </is>
      </c>
      <c r="G638">
        <v>0</v>
      </c>
      <c r="H638" t="inlineStr">
        <is>
          <t>未显示检查点耗时</t>
        </is>
      </c>
      <c r="I638">
        <v>4</v>
      </c>
      <c r="J638" t="inlineStr">
        <is>
          <t>Test if checkpoint times are recorded and shown during the race</t>
        </is>
      </c>
      <c r="K638" t="inlineStr">
        <is>
          <t>测试比赛过程中记录并展示检查点耗时</t>
        </is>
      </c>
      <c r="L638" s="2" t="str">
        <f>=HYPERLINK("http://pre.mgx.dev/chat/18f41e22761c4a449c6553e4fba512bf", "http://pre.mgx.dev/chat/18f41e22761c4a449c6553e4fba512bf")</f>
        <v>http://pre.mgx.dev/chat/18f41e22761c4a449c6553e4fba512bf</v>
      </c>
      <c r="M638" s="2" t="str">
        <f>=HYPERLINK("", "https://45802-18f41e22761c4a449c6553e4fba512bf-3-latest.app.beta.mgx.dev")</f>
        <v>https://45802-18f41e22761c4a449c6553e4fba512bf-3-latest.app.beta.mgx.dev</v>
      </c>
      <c r="N638" s="2" t="str">
        <f>=HYPERLINK("mailto:eval_92@auto.com", "eval_92@auto.com")</f>
        <v>eval_92@auto.com</v>
      </c>
      <c r="O638" t="inlineStr">
        <is>
          <t>18f41e22761c4a449c6553e4fba512bf</t>
        </is>
      </c>
    </row>
    <row r="639" ht="25.5" customHeight="1">
      <c r="A639" t="inlineStr">
        <is>
          <t>TurboRally</t>
        </is>
      </c>
      <c r="B639">
        <v>50</v>
      </c>
      <c r="C639" t="inlineStr">
        <is>
          <t>@陈佳杰</t>
        </is>
      </c>
      <c r="D639">
        <v>1</v>
      </c>
      <c r="E639"/>
      <c r="F639" t="inlineStr">
        <is>
          <t>@杨春玉</t>
        </is>
      </c>
      <c r="G639">
        <v>1</v>
      </c>
      <c r="H639"/>
      <c r="I639">
        <v>5</v>
      </c>
      <c r="J639" t="inlineStr">
        <is>
          <t>Test if the dashboard displays the player's current position in the race</t>
        </is>
      </c>
      <c r="K639" t="inlineStr">
        <is>
          <t>测试数据面板展示玩家在比赛中的当前排名</t>
        </is>
      </c>
      <c r="L639" s="2" t="str">
        <f>=HYPERLINK("http://pre.mgx.dev/chat/18f41e22761c4a449c6553e4fba512bf", "http://pre.mgx.dev/chat/18f41e22761c4a449c6553e4fba512bf")</f>
        <v>http://pre.mgx.dev/chat/18f41e22761c4a449c6553e4fba512bf</v>
      </c>
      <c r="M639" s="2" t="str">
        <f>=HYPERLINK("", "https://45802-18f41e22761c4a449c6553e4fba512bf-3-latest.app.beta.mgx.dev")</f>
        <v>https://45802-18f41e22761c4a449c6553e4fba512bf-3-latest.app.beta.mgx.dev</v>
      </c>
      <c r="N639" s="2" t="str">
        <f>=HYPERLINK("mailto:eval_92@auto.com", "eval_92@auto.com")</f>
        <v>eval_92@auto.com</v>
      </c>
      <c r="O639" t="inlineStr">
        <is>
          <t>18f41e22761c4a449c6553e4fba512bf</t>
        </is>
      </c>
    </row>
    <row r="640" ht="25.5" customHeight="1">
      <c r="A640" t="inlineStr">
        <is>
          <t>TurboRally</t>
        </is>
      </c>
      <c r="B640">
        <v>50</v>
      </c>
      <c r="C640" t="inlineStr">
        <is>
          <t>@陈佳杰</t>
        </is>
      </c>
      <c r="D640">
        <v>1</v>
      </c>
      <c r="E640"/>
      <c r="F640" t="inlineStr">
        <is>
          <t>@杨春玉</t>
        </is>
      </c>
      <c r="G640">
        <v>1</v>
      </c>
      <c r="H640"/>
      <c r="I640">
        <v>6</v>
      </c>
      <c r="J640" t="inlineStr">
        <is>
          <t>Test the selection functionality by choosing different vehicles and verifying that the selected vehicle is used in the race</t>
        </is>
      </c>
      <c r="K640" t="inlineStr">
        <is>
          <t>测试选择不同车辆，验证选中的车辆在比赛中使用</t>
        </is>
      </c>
      <c r="L640" s="2" t="str">
        <f>=HYPERLINK("http://pre.mgx.dev/chat/18f41e22761c4a449c6553e4fba512bf", "http://pre.mgx.dev/chat/18f41e22761c4a449c6553e4fba512bf")</f>
        <v>http://pre.mgx.dev/chat/18f41e22761c4a449c6553e4fba512bf</v>
      </c>
      <c r="M640" s="2" t="str">
        <f>=HYPERLINK("", "https://45802-18f41e22761c4a449c6553e4fba512bf-3-latest.app.beta.mgx.dev")</f>
        <v>https://45802-18f41e22761c4a449c6553e4fba512bf-3-latest.app.beta.mgx.dev</v>
      </c>
      <c r="N640" s="2" t="str">
        <f>=HYPERLINK("mailto:eval_92@auto.com", "eval_92@auto.com")</f>
        <v>eval_92@auto.com</v>
      </c>
      <c r="O640" t="inlineStr">
        <is>
          <t>18f41e22761c4a449c6553e4fba512bf</t>
        </is>
      </c>
    </row>
    <row r="641" ht="25.5" customHeight="1">
      <c r="A641" t="inlineStr">
        <is>
          <t>TurboRally</t>
        </is>
      </c>
      <c r="B641">
        <v>50</v>
      </c>
      <c r="C641" t="inlineStr">
        <is>
          <t>@陈佳杰</t>
        </is>
      </c>
      <c r="D641">
        <v>1</v>
      </c>
      <c r="E641"/>
      <c r="F641" t="inlineStr">
        <is>
          <t>@杨春玉</t>
        </is>
      </c>
      <c r="G641">
        <v>1</v>
      </c>
      <c r="H641"/>
      <c r="I641">
        <v>7</v>
      </c>
      <c r="J641" t="inlineStr">
        <is>
          <t>Verify that lap times are accurately recorded and displayed after each lap</t>
        </is>
      </c>
      <c r="K641" t="inlineStr">
        <is>
          <t>验证每圈结束后准确记录并展示单圈耗时</t>
        </is>
      </c>
      <c r="L641" s="2" t="str">
        <f>=HYPERLINK("http://pre.mgx.dev/chat/18f41e22761c4a449c6553e4fba512bf", "http://pre.mgx.dev/chat/18f41e22761c4a449c6553e4fba512bf")</f>
        <v>http://pre.mgx.dev/chat/18f41e22761c4a449c6553e4fba512bf</v>
      </c>
      <c r="M641" s="2" t="str">
        <f>=HYPERLINK("", "https://45802-18f41e22761c4a449c6553e4fba512bf-3-latest.app.beta.mgx.dev")</f>
        <v>https://45802-18f41e22761c4a449c6553e4fba512bf-3-latest.app.beta.mgx.dev</v>
      </c>
      <c r="N641" s="2" t="str">
        <f>=HYPERLINK("mailto:eval_92@auto.com", "eval_92@auto.com")</f>
        <v>eval_92@auto.com</v>
      </c>
      <c r="O641" t="inlineStr">
        <is>
          <t>18f41e22761c4a449c6553e4fba512bf</t>
        </is>
      </c>
    </row>
    <row r="642" ht="25.5" customHeight="1">
      <c r="A642" t="inlineStr">
        <is>
          <t>TurboRally</t>
        </is>
      </c>
      <c r="B642">
        <v>50</v>
      </c>
      <c r="C642" t="inlineStr">
        <is>
          <t>@陈佳杰</t>
        </is>
      </c>
      <c r="D642">
        <v>1</v>
      </c>
      <c r="E642"/>
      <c r="F642" t="inlineStr">
        <is>
          <t>@杨春玉</t>
        </is>
      </c>
      <c r="G642">
        <v>1</v>
      </c>
      <c r="H642"/>
      <c r="I642">
        <v>8</v>
      </c>
      <c r="J642" t="inlineStr">
        <is>
          <t>Verify that the dashboard shows accurate track progress during the race</t>
        </is>
      </c>
      <c r="K642" t="inlineStr">
        <is>
          <t>验证比赛过程中数据面板准确展示赛道进度</t>
        </is>
      </c>
      <c r="L642" s="2" t="str">
        <f>=HYPERLINK("http://pre.mgx.dev/chat/18f41e22761c4a449c6553e4fba512bf", "http://pre.mgx.dev/chat/18f41e22761c4a449c6553e4fba512bf")</f>
        <v>http://pre.mgx.dev/chat/18f41e22761c4a449c6553e4fba512bf</v>
      </c>
      <c r="M642" s="2" t="str">
        <f>=HYPERLINK("", "https://45802-18f41e22761c4a449c6553e4fba512bf-3-latest.app.beta.mgx.dev")</f>
        <v>https://45802-18f41e22761c4a449c6553e4fba512bf-3-latest.app.beta.mgx.dev</v>
      </c>
      <c r="N642" s="2" t="str">
        <f>=HYPERLINK("mailto:eval_92@auto.com", "eval_92@auto.com")</f>
        <v>eval_92@auto.com</v>
      </c>
      <c r="O642" t="inlineStr">
        <is>
          <t>18f41e22761c4a449c6553e4fba512bf</t>
        </is>
      </c>
    </row>
    <row r="643" ht="25.5" customHeight="1">
      <c r="A643" t="inlineStr">
        <is>
          <t>TurboRally</t>
        </is>
      </c>
      <c r="B643">
        <v>50</v>
      </c>
      <c r="C643" t="inlineStr">
        <is>
          <t>@陈佳杰</t>
        </is>
      </c>
      <c r="D643">
        <v>1</v>
      </c>
      <c r="E643"/>
      <c r="F643" t="inlineStr">
        <is>
          <t>@杨春玉</t>
        </is>
      </c>
      <c r="G643">
        <v>1</v>
      </c>
      <c r="H643"/>
      <c r="I643">
        <v>9</v>
      </c>
      <c r="J643" t="inlineStr">
        <is>
          <t>Verify that the real-time performance dashboard is visible during races</t>
        </is>
      </c>
      <c r="K643" t="inlineStr">
        <is>
          <t>验证比赛过程中可见实时性能数据面板</t>
        </is>
      </c>
      <c r="L643" s="2" t="str">
        <f>=HYPERLINK("http://pre.mgx.dev/chat/18f41e22761c4a449c6553e4fba512bf", "http://pre.mgx.dev/chat/18f41e22761c4a449c6553e4fba512bf")</f>
        <v>http://pre.mgx.dev/chat/18f41e22761c4a449c6553e4fba512bf</v>
      </c>
      <c r="M643" s="2" t="str">
        <f>=HYPERLINK("", "https://45802-18f41e22761c4a449c6553e4fba512bf-3-latest.app.beta.mgx.dev")</f>
        <v>https://45802-18f41e22761c4a449c6553e4fba512bf-3-latest.app.beta.mgx.dev</v>
      </c>
      <c r="N643" s="2" t="str">
        <f>=HYPERLINK("mailto:eval_92@auto.com", "eval_92@auto.com")</f>
        <v>eval_92@auto.com</v>
      </c>
      <c r="O643" t="inlineStr">
        <is>
          <t>18f41e22761c4a449c6553e4fba512bf</t>
        </is>
      </c>
    </row>
    <row r="644" ht="25.5" customHeight="1">
      <c r="A644" t="inlineStr">
        <is>
          <t>TurboRally</t>
        </is>
      </c>
      <c r="B644">
        <v>50</v>
      </c>
      <c r="C644" t="inlineStr">
        <is>
          <t>@陈佳杰</t>
        </is>
      </c>
      <c r="D644">
        <v>1</v>
      </c>
      <c r="E644"/>
      <c r="F644" t="inlineStr">
        <is>
          <t>@杨春玉</t>
        </is>
      </c>
      <c r="G644">
        <v>1</v>
      </c>
      <c r="H644"/>
      <c r="I644">
        <v>10</v>
      </c>
      <c r="J644" t="inlineStr">
        <is>
          <t>Verify that the vehicle selection interface displays at least 5 different off-road vehicles</t>
        </is>
      </c>
      <c r="K644" t="inlineStr">
        <is>
          <t>验证车辆选择界面至少展示5种不同的越野车辆</t>
        </is>
      </c>
      <c r="L644" s="2" t="str">
        <f>=HYPERLINK("http://pre.mgx.dev/chat/18f41e22761c4a449c6553e4fba512bf", "http://pre.mgx.dev/chat/18f41e22761c4a449c6553e4fba512bf")</f>
        <v>http://pre.mgx.dev/chat/18f41e22761c4a449c6553e4fba512bf</v>
      </c>
      <c r="M644" s="2" t="str">
        <f>=HYPERLINK("", "https://45802-18f41e22761c4a449c6553e4fba512bf-3-latest.app.beta.mgx.dev")</f>
        <v>https://45802-18f41e22761c4a449c6553e4fba512bf-3-latest.app.beta.mgx.dev</v>
      </c>
      <c r="N644" s="2" t="str">
        <f>=HYPERLINK("mailto:eval_92@auto.com", "eval_92@auto.com")</f>
        <v>eval_92@auto.com</v>
      </c>
      <c r="O644" t="inlineStr">
        <is>
          <t>18f41e22761c4a449c6553e4fba512bf</t>
        </is>
      </c>
    </row>
    <row r="645" ht="25.5" customHeight="1">
      <c r="A645" t="inlineStr">
        <is>
          <t>TurboRally</t>
        </is>
      </c>
      <c r="B645">
        <v>50</v>
      </c>
      <c r="C645" t="inlineStr">
        <is>
          <t>@陈佳杰</t>
        </is>
      </c>
      <c r="D645">
        <v>1</v>
      </c>
      <c r="E645"/>
      <c r="F645" t="inlineStr">
        <is>
          <t>@杨春玉</t>
        </is>
      </c>
      <c r="G645">
        <v>1</v>
      </c>
      <c r="H645"/>
      <c r="I645">
        <v>11</v>
      </c>
      <c r="J645" t="inlineStr">
        <is>
          <t>Verify the presence of at least 3 distinct off-road tracks in the game</t>
        </is>
      </c>
      <c r="K645" t="inlineStr">
        <is>
          <t>验证游戏中至少存在3条不同的越野赛道</t>
        </is>
      </c>
      <c r="L645" s="2" t="str">
        <f>=HYPERLINK("http://pre.mgx.dev/chat/18f41e22761c4a449c6553e4fba512bf", "http://pre.mgx.dev/chat/18f41e22761c4a449c6553e4fba512bf")</f>
        <v>http://pre.mgx.dev/chat/18f41e22761c4a449c6553e4fba512bf</v>
      </c>
      <c r="M645" s="2" t="str">
        <f>=HYPERLINK("", "https://45802-18f41e22761c4a449c6553e4fba512bf-3-latest.app.beta.mgx.dev")</f>
        <v>https://45802-18f41e22761c4a449c6553e4fba512bf-3-latest.app.beta.mgx.dev</v>
      </c>
      <c r="N645" s="2" t="str">
        <f>=HYPERLINK("mailto:eval_92@auto.com", "eval_92@auto.com")</f>
        <v>eval_92@auto.com</v>
      </c>
      <c r="O645" t="inlineStr">
        <is>
          <t>18f41e22761c4a449c6553e4fba512bf</t>
        </is>
      </c>
    </row>
    <row r="646" ht="25.5" customHeight="1">
      <c r="A646" t="inlineStr">
        <is>
          <t>VideoClipper</t>
        </is>
      </c>
      <c r="B646">
        <v>51</v>
      </c>
      <c r="C646" t="inlineStr">
        <is>
          <t>@陈佳杰</t>
        </is>
      </c>
      <c r="D646">
        <v>1</v>
      </c>
      <c r="E646"/>
      <c r="F646" t="inlineStr">
        <is>
          <t>@杨春玉</t>
        </is>
      </c>
      <c r="G646">
        <v>1</v>
      </c>
      <c r="H646"/>
      <c r="I646">
        <v>1</v>
      </c>
      <c r="J646" t="inlineStr">
        <is>
          <t>Check if timeline slider is present and shows current video position</t>
        </is>
      </c>
      <c r="K646" t="inlineStr">
        <is>
          <t>检查是否存在时间线滑块并展示当前视频位置</t>
        </is>
      </c>
      <c r="L646" s="2" t="str">
        <f>=HYPERLINK("http://pre.mgx.dev/chat/69c11d9904d64fef99fd63a51a7f0675", "http://pre.mgx.dev/chat/69c11d9904d64fef99fd63a51a7f0675")</f>
        <v>http://pre.mgx.dev/chat/69c11d9904d64fef99fd63a51a7f0675</v>
      </c>
      <c r="M646" s="2" t="str">
        <f>=HYPERLINK("", "https://45764-69c11d9904d64fef99fd63a51a7f0675-3-latest.app.beta.mgx.dev")</f>
        <v>https://45764-69c11d9904d64fef99fd63a51a7f0675-3-latest.app.beta.mgx.dev</v>
      </c>
      <c r="N646" s="2" t="str">
        <f>=HYPERLINK("mailto:eval_54@auto.com", "eval_54@auto.com")</f>
        <v>eval_54@auto.com</v>
      </c>
      <c r="O646" t="inlineStr">
        <is>
          <t>69c11d9904d64fef99fd63a51a7f0675</t>
        </is>
      </c>
    </row>
    <row r="647" ht="25.5" customHeight="1">
      <c r="A647" t="inlineStr">
        <is>
          <t>VideoClipper</t>
        </is>
      </c>
      <c r="B647">
        <v>51</v>
      </c>
      <c r="C647" t="inlineStr">
        <is>
          <t>@陈佳杰</t>
        </is>
      </c>
      <c r="D647">
        <v>1</v>
      </c>
      <c r="E647"/>
      <c r="F647" t="inlineStr">
        <is>
          <t>@杨春玉</t>
        </is>
      </c>
      <c r="G647">
        <v>1</v>
      </c>
      <c r="H647"/>
      <c r="I647">
        <v>2</v>
      </c>
      <c r="J647" t="inlineStr">
        <is>
          <t>Test adjusting start and end points by dragging markers</t>
        </is>
      </c>
      <c r="K647" t="inlineStr">
        <is>
          <t>测试拖拽标记调整视频的起始和结束点</t>
        </is>
      </c>
      <c r="L647" s="2" t="str">
        <f>=HYPERLINK("http://pre.mgx.dev/chat/69c11d9904d64fef99fd63a51a7f0675", "http://pre.mgx.dev/chat/69c11d9904d64fef99fd63a51a7f0675")</f>
        <v>http://pre.mgx.dev/chat/69c11d9904d64fef99fd63a51a7f0675</v>
      </c>
      <c r="M647" s="2" t="str">
        <f>=HYPERLINK("", "https://45764-69c11d9904d64fef99fd63a51a7f0675-3-latest.app.beta.mgx.dev")</f>
        <v>https://45764-69c11d9904d64fef99fd63a51a7f0675-3-latest.app.beta.mgx.dev</v>
      </c>
      <c r="N647" s="2" t="str">
        <f>=HYPERLINK("mailto:eval_54@auto.com", "eval_54@auto.com")</f>
        <v>eval_54@auto.com</v>
      </c>
      <c r="O647" t="inlineStr">
        <is>
          <t>69c11d9904d64fef99fd63a51a7f0675</t>
        </is>
      </c>
    </row>
    <row r="648" ht="25.5" customHeight="1">
      <c r="A648" t="inlineStr">
        <is>
          <t>VideoClipper</t>
        </is>
      </c>
      <c r="B648">
        <v>51</v>
      </c>
      <c r="C648" t="inlineStr">
        <is>
          <t>@陈佳杰</t>
        </is>
      </c>
      <c r="D648">
        <v>0</v>
      </c>
      <c r="E648" t="inlineStr">
        <is>
          <t>仅能保存到“下载”的文件夹中</t>
        </is>
      </c>
      <c r="F648" t="inlineStr">
        <is>
          <t>@杨春玉</t>
        </is>
      </c>
      <c r="G648">
        <v>1</v>
      </c>
      <c r="H648"/>
      <c r="I648">
        <v>3</v>
      </c>
      <c r="J648" t="inlineStr">
        <is>
          <t>Test selecting custom save location for trimmed video</t>
        </is>
      </c>
      <c r="K648" t="inlineStr">
        <is>
          <t>测试为剪辑后的视频选择自定义保存位置</t>
        </is>
      </c>
      <c r="L648" s="2" t="str">
        <f>=HYPERLINK("http://pre.mgx.dev/chat/69c11d9904d64fef99fd63a51a7f0675", "http://pre.mgx.dev/chat/69c11d9904d64fef99fd63a51a7f0675")</f>
        <v>http://pre.mgx.dev/chat/69c11d9904d64fef99fd63a51a7f0675</v>
      </c>
      <c r="M648" s="2" t="str">
        <f>=HYPERLINK("", "https://45764-69c11d9904d64fef99fd63a51a7f0675-3-latest.app.beta.mgx.dev")</f>
        <v>https://45764-69c11d9904d64fef99fd63a51a7f0675-3-latest.app.beta.mgx.dev</v>
      </c>
      <c r="N648" s="2" t="str">
        <f>=HYPERLINK("mailto:eval_54@auto.com", "eval_54@auto.com")</f>
        <v>eval_54@auto.com</v>
      </c>
      <c r="O648" t="inlineStr">
        <is>
          <t>69c11d9904d64fef99fd63a51a7f0675</t>
        </is>
      </c>
    </row>
    <row r="649" ht="25.5" customHeight="1">
      <c r="A649" t="inlineStr">
        <is>
          <t>VideoClipper</t>
        </is>
      </c>
      <c r="B649">
        <v>51</v>
      </c>
      <c r="C649" t="inlineStr">
        <is>
          <t>@陈佳杰</t>
        </is>
      </c>
      <c r="D649">
        <v>1</v>
      </c>
      <c r="E649"/>
      <c r="F649" t="inlineStr">
        <is>
          <t>@杨春玉</t>
        </is>
      </c>
      <c r="G649">
        <v>1</v>
      </c>
      <c r="H649"/>
      <c r="I649">
        <v>4</v>
      </c>
      <c r="J649" t="inlineStr">
        <is>
          <t>Test setting end point by clicking on the timeline</t>
        </is>
      </c>
      <c r="K649" t="inlineStr">
        <is>
          <t>测试点击时间线设置视频结束点</t>
        </is>
      </c>
      <c r="L649" s="2" t="str">
        <f>=HYPERLINK("http://pre.mgx.dev/chat/69c11d9904d64fef99fd63a51a7f0675", "http://pre.mgx.dev/chat/69c11d9904d64fef99fd63a51a7f0675")</f>
        <v>http://pre.mgx.dev/chat/69c11d9904d64fef99fd63a51a7f0675</v>
      </c>
      <c r="M649" s="2" t="str">
        <f>=HYPERLINK("", "https://45764-69c11d9904d64fef99fd63a51a7f0675-3-latest.app.beta.mgx.dev")</f>
        <v>https://45764-69c11d9904d64fef99fd63a51a7f0675-3-latest.app.beta.mgx.dev</v>
      </c>
      <c r="N649" s="2" t="str">
        <f>=HYPERLINK("mailto:eval_54@auto.com", "eval_54@auto.com")</f>
        <v>eval_54@auto.com</v>
      </c>
      <c r="O649" t="inlineStr">
        <is>
          <t>69c11d9904d64fef99fd63a51a7f0675</t>
        </is>
      </c>
    </row>
    <row r="650" ht="25.5" customHeight="1">
      <c r="A650" t="inlineStr">
        <is>
          <t>VideoClipper</t>
        </is>
      </c>
      <c r="B650">
        <v>51</v>
      </c>
      <c r="C650" t="inlineStr">
        <is>
          <t>@陈佳杰</t>
        </is>
      </c>
      <c r="D650">
        <v>1</v>
      </c>
      <c r="E650"/>
      <c r="F650" t="inlineStr">
        <is>
          <t>@杨春玉</t>
        </is>
      </c>
      <c r="G650">
        <v>1</v>
      </c>
      <c r="H650"/>
      <c r="I650">
        <v>5</v>
      </c>
      <c r="J650" t="inlineStr">
        <is>
          <t>Test setting start point by clicking on the timeline</t>
        </is>
      </c>
      <c r="K650" t="inlineStr">
        <is>
          <t>测试点击时间线设置视频起始点</t>
        </is>
      </c>
      <c r="L650" s="2" t="str">
        <f>=HYPERLINK("http://pre.mgx.dev/chat/69c11d9904d64fef99fd63a51a7f0675", "http://pre.mgx.dev/chat/69c11d9904d64fef99fd63a51a7f0675")</f>
        <v>http://pre.mgx.dev/chat/69c11d9904d64fef99fd63a51a7f0675</v>
      </c>
      <c r="M650" s="2" t="str">
        <f>=HYPERLINK("", "https://45764-69c11d9904d64fef99fd63a51a7f0675-3-latest.app.beta.mgx.dev")</f>
        <v>https://45764-69c11d9904d64fef99fd63a51a7f0675-3-latest.app.beta.mgx.dev</v>
      </c>
      <c r="N650" s="2" t="str">
        <f>=HYPERLINK("mailto:eval_54@auto.com", "eval_54@auto.com")</f>
        <v>eval_54@auto.com</v>
      </c>
      <c r="O650" t="inlineStr">
        <is>
          <t>69c11d9904d64fef99fd63a51a7f0675</t>
        </is>
      </c>
    </row>
    <row r="651" ht="25.5" customHeight="1">
      <c r="A651" t="inlineStr">
        <is>
          <t>VideoClipper</t>
        </is>
      </c>
      <c r="B651">
        <v>51</v>
      </c>
      <c r="C651" t="inlineStr">
        <is>
          <t>@陈佳杰</t>
        </is>
      </c>
      <c r="D651">
        <v>0</v>
      </c>
      <c r="E651" t="inlineStr">
        <is>
          <t>无法自定义文件名</t>
        </is>
      </c>
      <c r="F651" t="inlineStr">
        <is>
          <t>@杨春玉</t>
        </is>
      </c>
      <c r="G651">
        <v>1</v>
      </c>
      <c r="H651"/>
      <c r="I651">
        <v>6</v>
      </c>
      <c r="J651" t="inlineStr">
        <is>
          <t>Test specifying custom filename for trimmed video</t>
        </is>
      </c>
      <c r="K651" t="inlineStr">
        <is>
          <t>测试为剪辑后的视频指定自定义文件名</t>
        </is>
      </c>
      <c r="L651" s="2" t="str">
        <f>=HYPERLINK("http://pre.mgx.dev/chat/69c11d9904d64fef99fd63a51a7f0675", "http://pre.mgx.dev/chat/69c11d9904d64fef99fd63a51a7f0675")</f>
        <v>http://pre.mgx.dev/chat/69c11d9904d64fef99fd63a51a7f0675</v>
      </c>
      <c r="M651" s="2" t="str">
        <f>=HYPERLINK("", "https://45764-69c11d9904d64fef99fd63a51a7f0675-3-latest.app.beta.mgx.dev")</f>
        <v>https://45764-69c11d9904d64fef99fd63a51a7f0675-3-latest.app.beta.mgx.dev</v>
      </c>
      <c r="N651" s="2" t="str">
        <f>=HYPERLINK("mailto:eval_54@auto.com", "eval_54@auto.com")</f>
        <v>eval_54@auto.com</v>
      </c>
      <c r="O651" t="inlineStr">
        <is>
          <t>69c11d9904d64fef99fd63a51a7f0675</t>
        </is>
      </c>
    </row>
    <row r="652" ht="25.5" customHeight="1">
      <c r="A652" t="inlineStr">
        <is>
          <t>VideoClipper</t>
        </is>
      </c>
      <c r="B652">
        <v>51</v>
      </c>
      <c r="C652" t="inlineStr">
        <is>
          <t>@陈佳杰</t>
        </is>
      </c>
      <c r="D652">
        <v>1</v>
      </c>
      <c r="E652"/>
      <c r="F652" t="inlineStr">
        <is>
          <t>@杨春玉</t>
        </is>
      </c>
      <c r="G652">
        <v>0</v>
      </c>
      <c r="H652" t="inlineStr">
        <is>
          <t>输出的文件时长与剪辑的不一致</t>
        </is>
      </c>
      <c r="I652">
        <v>7</v>
      </c>
      <c r="J652" t="inlineStr">
        <is>
          <t>Test trimming video with start and end points set</t>
        </is>
      </c>
      <c r="K652" t="inlineStr">
        <is>
          <t>测试设置起始和结束点后剪辑视频</t>
        </is>
      </c>
      <c r="L652" s="2" t="str">
        <f>=HYPERLINK("http://pre.mgx.dev/chat/69c11d9904d64fef99fd63a51a7f0675", "http://pre.mgx.dev/chat/69c11d9904d64fef99fd63a51a7f0675")</f>
        <v>http://pre.mgx.dev/chat/69c11d9904d64fef99fd63a51a7f0675</v>
      </c>
      <c r="M652" s="2" t="str">
        <f>=HYPERLINK("", "https://45764-69c11d9904d64fef99fd63a51a7f0675-3-latest.app.beta.mgx.dev")</f>
        <v>https://45764-69c11d9904d64fef99fd63a51a7f0675-3-latest.app.beta.mgx.dev</v>
      </c>
      <c r="N652" s="2" t="str">
        <f>=HYPERLINK("mailto:eval_54@auto.com", "eval_54@auto.com")</f>
        <v>eval_54@auto.com</v>
      </c>
      <c r="O652" t="inlineStr">
        <is>
          <t>69c11d9904d64fef99fd63a51a7f0675</t>
        </is>
      </c>
    </row>
    <row r="653" ht="25.5" customHeight="1">
      <c r="A653" t="inlineStr">
        <is>
          <t>VideoClipper</t>
        </is>
      </c>
      <c r="B653">
        <v>51</v>
      </c>
      <c r="C653" t="inlineStr">
        <is>
          <t>@陈佳杰</t>
        </is>
      </c>
      <c r="D653">
        <v>1</v>
      </c>
      <c r="E653"/>
      <c r="F653" t="inlineStr">
        <is>
          <t>@杨春玉</t>
        </is>
      </c>
      <c r="G653">
        <v>1</v>
      </c>
      <c r="H653"/>
      <c r="I653">
        <v>8</v>
      </c>
      <c r="J653" t="inlineStr">
        <is>
          <t>Verify file input button or drag-and-drop area is present</t>
        </is>
      </c>
      <c r="K653" t="inlineStr">
        <is>
          <t>验证存在文件输入按钮或拖放区域</t>
        </is>
      </c>
      <c r="L653" s="2" t="str">
        <f>=HYPERLINK("http://pre.mgx.dev/chat/69c11d9904d64fef99fd63a51a7f0675", "http://pre.mgx.dev/chat/69c11d9904d64fef99fd63a51a7f0675")</f>
        <v>http://pre.mgx.dev/chat/69c11d9904d64fef99fd63a51a7f0675</v>
      </c>
      <c r="M653" s="2" t="str">
        <f>=HYPERLINK("", "https://45764-69c11d9904d64fef99fd63a51a7f0675-3-latest.app.beta.mgx.dev")</f>
        <v>https://45764-69c11d9904d64fef99fd63a51a7f0675-3-latest.app.beta.mgx.dev</v>
      </c>
      <c r="N653" s="2" t="str">
        <f>=HYPERLINK("mailto:eval_54@auto.com", "eval_54@auto.com")</f>
        <v>eval_54@auto.com</v>
      </c>
      <c r="O653" t="inlineStr">
        <is>
          <t>69c11d9904d64fef99fd63a51a7f0675</t>
        </is>
      </c>
    </row>
    <row r="654" ht="25.5" customHeight="1">
      <c r="A654" t="inlineStr">
        <is>
          <t>VideoClipper</t>
        </is>
      </c>
      <c r="B654">
        <v>51</v>
      </c>
      <c r="C654" t="inlineStr">
        <is>
          <t>@陈佳杰</t>
        </is>
      </c>
      <c r="D654">
        <v>0</v>
      </c>
      <c r="E654" t="inlineStr">
        <is>
          <t>没有保存对话框</t>
        </is>
      </c>
      <c r="F654" t="inlineStr">
        <is>
          <t>@杨春玉</t>
        </is>
      </c>
      <c r="G654">
        <v>1</v>
      </c>
      <c r="H654"/>
      <c r="I654">
        <v>9</v>
      </c>
      <c r="J654" t="inlineStr">
        <is>
          <t>Verify presence of file save dialog after trimming</t>
        </is>
      </c>
      <c r="K654" t="inlineStr">
        <is>
          <t>验证视频剪辑后弹出文件保存对话框</t>
        </is>
      </c>
      <c r="L654" s="2" t="str">
        <f>=HYPERLINK("http://pre.mgx.dev/chat/69c11d9904d64fef99fd63a51a7f0675", "http://pre.mgx.dev/chat/69c11d9904d64fef99fd63a51a7f0675")</f>
        <v>http://pre.mgx.dev/chat/69c11d9904d64fef99fd63a51a7f0675</v>
      </c>
      <c r="M654" s="2" t="str">
        <f>=HYPERLINK("", "https://45764-69c11d9904d64fef99fd63a51a7f0675-3-latest.app.beta.mgx.dev")</f>
        <v>https://45764-69c11d9904d64fef99fd63a51a7f0675-3-latest.app.beta.mgx.dev</v>
      </c>
      <c r="N654" s="2" t="str">
        <f>=HYPERLINK("mailto:eval_54@auto.com", "eval_54@auto.com")</f>
        <v>eval_54@auto.com</v>
      </c>
      <c r="O654" t="inlineStr">
        <is>
          <t>69c11d9904d64fef99fd63a51a7f0675</t>
        </is>
      </c>
    </row>
    <row r="655" ht="25.5" customHeight="1">
      <c r="A655" t="inlineStr">
        <is>
          <t>VideoClipper</t>
        </is>
      </c>
      <c r="B655">
        <v>51</v>
      </c>
      <c r="C655" t="inlineStr">
        <is>
          <t>@陈佳杰</t>
        </is>
      </c>
      <c r="D655">
        <v>1</v>
      </c>
      <c r="E655"/>
      <c r="F655" t="inlineStr">
        <is>
          <t>@杨春玉</t>
        </is>
      </c>
      <c r="G655">
        <v>1</v>
      </c>
      <c r="H655"/>
      <c r="I655">
        <v>10</v>
      </c>
      <c r="J655" t="inlineStr">
        <is>
          <t>Verify progress indication is shown during video processing</t>
        </is>
      </c>
      <c r="K655" t="inlineStr">
        <is>
          <t>验证视频处理过程中展示进度提示</t>
        </is>
      </c>
      <c r="L655" s="2" t="str">
        <f>=HYPERLINK("http://pre.mgx.dev/chat/69c11d9904d64fef99fd63a51a7f0675", "http://pre.mgx.dev/chat/69c11d9904d64fef99fd63a51a7f0675")</f>
        <v>http://pre.mgx.dev/chat/69c11d9904d64fef99fd63a51a7f0675</v>
      </c>
      <c r="M655" s="2" t="str">
        <f>=HYPERLINK("", "https://45764-69c11d9904d64fef99fd63a51a7f0675-3-latest.app.beta.mgx.dev")</f>
        <v>https://45764-69c11d9904d64fef99fd63a51a7f0675-3-latest.app.beta.mgx.dev</v>
      </c>
      <c r="N655" s="2" t="str">
        <f>=HYPERLINK("mailto:eval_54@auto.com", "eval_54@auto.com")</f>
        <v>eval_54@auto.com</v>
      </c>
      <c r="O655" t="inlineStr">
        <is>
          <t>69c11d9904d64fef99fd63a51a7f0675</t>
        </is>
      </c>
    </row>
    <row r="656" ht="25.5" customHeight="1">
      <c r="A656" t="inlineStr">
        <is>
          <t>VideoClipper</t>
        </is>
      </c>
      <c r="B656">
        <v>51</v>
      </c>
      <c r="C656" t="inlineStr">
        <is>
          <t>@陈佳杰</t>
        </is>
      </c>
      <c r="D656">
        <v>1</v>
      </c>
      <c r="E656"/>
      <c r="F656" t="inlineStr">
        <is>
          <t>@杨春玉</t>
        </is>
      </c>
      <c r="G656">
        <v>1</v>
      </c>
      <c r="H656"/>
      <c r="I656">
        <v>11</v>
      </c>
      <c r="J656" t="inlineStr">
        <is>
          <t>Verify timeline slider can be used to navigate through the video</t>
        </is>
      </c>
      <c r="K656" t="inlineStr">
        <is>
          <t>验证可使用时间线滑块浏览视频</t>
        </is>
      </c>
      <c r="L656" s="2" t="str">
        <f>=HYPERLINK("http://pre.mgx.dev/chat/69c11d9904d64fef99fd63a51a7f0675", "http://pre.mgx.dev/chat/69c11d9904d64fef99fd63a51a7f0675")</f>
        <v>http://pre.mgx.dev/chat/69c11d9904d64fef99fd63a51a7f0675</v>
      </c>
      <c r="M656" s="2" t="str">
        <f>=HYPERLINK("", "https://45764-69c11d9904d64fef99fd63a51a7f0675-3-latest.app.beta.mgx.dev")</f>
        <v>https://45764-69c11d9904d64fef99fd63a51a7f0675-3-latest.app.beta.mgx.dev</v>
      </c>
      <c r="N656" s="2" t="str">
        <f>=HYPERLINK("mailto:eval_54@auto.com", "eval_54@auto.com")</f>
        <v>eval_54@auto.com</v>
      </c>
      <c r="O656" t="inlineStr">
        <is>
          <t>69c11d9904d64fef99fd63a51a7f0675</t>
        </is>
      </c>
    </row>
    <row r="657" ht="25.5" customHeight="1">
      <c r="A657" t="inlineStr">
        <is>
          <t>VideoClipper</t>
        </is>
      </c>
      <c r="B657">
        <v>51</v>
      </c>
      <c r="C657" t="inlineStr">
        <is>
          <t>@陈佳杰</t>
        </is>
      </c>
      <c r="D657">
        <v>1</v>
      </c>
      <c r="E657"/>
      <c r="F657" t="inlineStr">
        <is>
          <t>@杨春玉</t>
        </is>
      </c>
      <c r="G657">
        <v>0</v>
      </c>
      <c r="H657" t="inlineStr">
        <is>
          <t>输出的文件时长与剪辑的不一致</t>
        </is>
      </c>
      <c r="I657">
        <v>12</v>
      </c>
      <c r="J657" t="inlineStr">
        <is>
          <t>Verify trimmed video contains only selected portion</t>
        </is>
      </c>
      <c r="K657" t="inlineStr">
        <is>
          <t>验证剪辑后的视频仅包含选中的片段</t>
        </is>
      </c>
      <c r="L657" s="2" t="str">
        <f>=HYPERLINK("http://pre.mgx.dev/chat/69c11d9904d64fef99fd63a51a7f0675", "http://pre.mgx.dev/chat/69c11d9904d64fef99fd63a51a7f0675")</f>
        <v>http://pre.mgx.dev/chat/69c11d9904d64fef99fd63a51a7f0675</v>
      </c>
      <c r="M657" s="2" t="str">
        <f>=HYPERLINK("", "https://45764-69c11d9904d64fef99fd63a51a7f0675-3-latest.app.beta.mgx.dev")</f>
        <v>https://45764-69c11d9904d64fef99fd63a51a7f0675-3-latest.app.beta.mgx.dev</v>
      </c>
      <c r="N657" s="2" t="str">
        <f>=HYPERLINK("mailto:eval_54@auto.com", "eval_54@auto.com")</f>
        <v>eval_54@auto.com</v>
      </c>
      <c r="O657" t="inlineStr">
        <is>
          <t>69c11d9904d64fef99fd63a51a7f0675</t>
        </is>
      </c>
    </row>
    <row r="658" ht="25.5" customHeight="1">
      <c r="A658" t="inlineStr">
        <is>
          <t>VideoClipper</t>
        </is>
      </c>
      <c r="B658">
        <v>51</v>
      </c>
      <c r="C658" t="inlineStr">
        <is>
          <t>@陈佳杰</t>
        </is>
      </c>
      <c r="D658">
        <v>1</v>
      </c>
      <c r="E658"/>
      <c r="F658" t="inlineStr">
        <is>
          <t>@杨春玉</t>
        </is>
      </c>
      <c r="G658">
        <v>1</v>
      </c>
      <c r="H658"/>
      <c r="I658">
        <v>13</v>
      </c>
      <c r="J658" t="inlineStr">
        <is>
          <t>Verify video player interface displays with play, pause, and stop buttons</t>
        </is>
      </c>
      <c r="K658" t="inlineStr">
        <is>
          <t>验证视频播放器界面展示播放、暂停和停止按钮</t>
        </is>
      </c>
      <c r="L658" s="2" t="str">
        <f>=HYPERLINK("http://pre.mgx.dev/chat/69c11d9904d64fef99fd63a51a7f0675", "http://pre.mgx.dev/chat/69c11d9904d64fef99fd63a51a7f0675")</f>
        <v>http://pre.mgx.dev/chat/69c11d9904d64fef99fd63a51a7f0675</v>
      </c>
      <c r="M658" s="2" t="str">
        <f>=HYPERLINK("", "https://45764-69c11d9904d64fef99fd63a51a7f0675-3-latest.app.beta.mgx.dev")</f>
        <v>https://45764-69c11d9904d64fef99fd63a51a7f0675-3-latest.app.beta.mgx.dev</v>
      </c>
      <c r="N658" s="2" t="str">
        <f>=HYPERLINK("mailto:eval_54@auto.com", "eval_54@auto.com")</f>
        <v>eval_54@auto.com</v>
      </c>
      <c r="O658" t="inlineStr">
        <is>
          <t>69c11d9904d64fef99fd63a51a7f0675</t>
        </is>
      </c>
    </row>
    <row r="659" ht="25.5" customHeight="1">
      <c r="A659" t="inlineStr">
        <is>
          <t>Word Puzzle</t>
        </is>
      </c>
      <c r="B659">
        <v>52</v>
      </c>
      <c r="C659" t="inlineStr">
        <is>
          <t>@陈佳杰</t>
        </is>
      </c>
      <c r="D659">
        <v>1</v>
      </c>
      <c r="E659"/>
      <c r="F659" t="inlineStr">
        <is>
          <t>@杨春玉</t>
        </is>
      </c>
      <c r="G659">
        <v>0</v>
      </c>
      <c r="H659" t="inlineStr">
        <is>
          <t>存在无关提示</t>
        </is>
      </c>
      <c r="I659">
        <v>1</v>
      </c>
      <c r="J659" t="inlineStr">
        <is>
          <t>Check if hints are relevant to the words in the grid</t>
        </is>
      </c>
      <c r="K659" t="inlineStr">
        <is>
          <t>检查提示内容是否与字母网格中的单词相关</t>
        </is>
      </c>
      <c r="L659" s="2" t="str">
        <f>=HYPERLINK("http://pre.mgx.dev/chat/32d1a51dffdb481d82f3b854677d5ba0", "http://pre.mgx.dev/chat/32d1a51dffdb481d82f3b854677d5ba0")</f>
        <v>http://pre.mgx.dev/chat/32d1a51dffdb481d82f3b854677d5ba0</v>
      </c>
      <c r="M659" s="2" t="str">
        <f>=HYPERLINK("", "https://45772-32d1a51dffdb481d82f3b854677d5ba0-3-latest.app.beta.mgx.dev")</f>
        <v>https://45772-32d1a51dffdb481d82f3b854677d5ba0-3-latest.app.beta.mgx.dev</v>
      </c>
      <c r="N659" s="2" t="str">
        <f>=HYPERLINK("mailto:eval_62@auto.com", "eval_62@auto.com")</f>
        <v>eval_62@auto.com</v>
      </c>
      <c r="O659" t="inlineStr">
        <is>
          <t>32d1a51dffdb481d82f3b854677d5ba0</t>
        </is>
      </c>
    </row>
    <row r="660" ht="25.5" customHeight="1">
      <c r="A660" t="inlineStr">
        <is>
          <t>Word Puzzle</t>
        </is>
      </c>
      <c r="B660">
        <v>52</v>
      </c>
      <c r="C660" t="inlineStr">
        <is>
          <t>@陈佳杰</t>
        </is>
      </c>
      <c r="D660">
        <v>1</v>
      </c>
      <c r="E660"/>
      <c r="F660" t="inlineStr">
        <is>
          <t>@杨春玉</t>
        </is>
      </c>
      <c r="G660">
        <v>1</v>
      </c>
      <c r="H660"/>
      <c r="I660">
        <v>2</v>
      </c>
      <c r="J660" t="inlineStr">
        <is>
          <t>Check if incorrectly spelled words are rejected</t>
        </is>
      </c>
      <c r="K660" t="inlineStr">
        <is>
          <t>检查拼写错误的单词被拒绝</t>
        </is>
      </c>
      <c r="L660" s="2" t="str">
        <f>=HYPERLINK("http://pre.mgx.dev/chat/32d1a51dffdb481d82f3b854677d5ba0", "http://pre.mgx.dev/chat/32d1a51dffdb481d82f3b854677d5ba0")</f>
        <v>http://pre.mgx.dev/chat/32d1a51dffdb481d82f3b854677d5ba0</v>
      </c>
      <c r="M660" s="2" t="str">
        <f>=HYPERLINK("", "https://45772-32d1a51dffdb481d82f3b854677d5ba0-3-latest.app.beta.mgx.dev")</f>
        <v>https://45772-32d1a51dffdb481d82f3b854677d5ba0-3-latest.app.beta.mgx.dev</v>
      </c>
      <c r="N660" s="2" t="str">
        <f>=HYPERLINK("mailto:eval_62@auto.com", "eval_62@auto.com")</f>
        <v>eval_62@auto.com</v>
      </c>
      <c r="O660" t="inlineStr">
        <is>
          <t>32d1a51dffdb481d82f3b854677d5ba0</t>
        </is>
      </c>
    </row>
    <row r="661" ht="25.5" customHeight="1">
      <c r="A661" t="inlineStr">
        <is>
          <t>Word Puzzle</t>
        </is>
      </c>
      <c r="B661">
        <v>52</v>
      </c>
      <c r="C661" t="inlineStr">
        <is>
          <t>@陈佳杰</t>
        </is>
      </c>
      <c r="D661">
        <v>1</v>
      </c>
      <c r="E661"/>
      <c r="F661" t="inlineStr">
        <is>
          <t>@杨春玉</t>
        </is>
      </c>
      <c r="G661">
        <v>1</v>
      </c>
      <c r="H661"/>
      <c r="I661">
        <v>3</v>
      </c>
      <c r="J661" t="inlineStr">
        <is>
          <t>Check if rewards are given based on the number of completed words</t>
        </is>
      </c>
      <c r="K661" t="inlineStr">
        <is>
          <t>检查根据完成的单词数量发放奖励</t>
        </is>
      </c>
      <c r="L661" s="2" t="str">
        <f>=HYPERLINK("http://pre.mgx.dev/chat/32d1a51dffdb481d82f3b854677d5ba0", "http://pre.mgx.dev/chat/32d1a51dffdb481d82f3b854677d5ba0")</f>
        <v>http://pre.mgx.dev/chat/32d1a51dffdb481d82f3b854677d5ba0</v>
      </c>
      <c r="M661" s="2" t="str">
        <f>=HYPERLINK("", "https://45772-32d1a51dffdb481d82f3b854677d5ba0-3-latest.app.beta.mgx.dev")</f>
        <v>https://45772-32d1a51dffdb481d82f3b854677d5ba0-3-latest.app.beta.mgx.dev</v>
      </c>
      <c r="N661" s="2" t="str">
        <f>=HYPERLINK("mailto:eval_62@auto.com", "eval_62@auto.com")</f>
        <v>eval_62@auto.com</v>
      </c>
      <c r="O661" t="inlineStr">
        <is>
          <t>32d1a51dffdb481d82f3b854677d5ba0</t>
        </is>
      </c>
    </row>
    <row r="662" ht="25.5" customHeight="1">
      <c r="A662" t="inlineStr">
        <is>
          <t>Word Puzzle</t>
        </is>
      </c>
      <c r="B662">
        <v>52</v>
      </c>
      <c r="C662" t="inlineStr">
        <is>
          <t>@陈佳杰</t>
        </is>
      </c>
      <c r="D662">
        <v>1</v>
      </c>
      <c r="E662"/>
      <c r="F662" t="inlineStr">
        <is>
          <t>@杨春玉</t>
        </is>
      </c>
      <c r="G662">
        <v>1</v>
      </c>
      <c r="H662"/>
      <c r="I662">
        <v>4</v>
      </c>
      <c r="J662" t="inlineStr">
        <is>
          <t>Test if different difficulty levels are available for selection</t>
        </is>
      </c>
      <c r="K662" t="inlineStr">
        <is>
          <t>测试是否提供不同难度等级选择</t>
        </is>
      </c>
      <c r="L662" s="2" t="str">
        <f>=HYPERLINK("http://pre.mgx.dev/chat/32d1a51dffdb481d82f3b854677d5ba0", "http://pre.mgx.dev/chat/32d1a51dffdb481d82f3b854677d5ba0")</f>
        <v>http://pre.mgx.dev/chat/32d1a51dffdb481d82f3b854677d5ba0</v>
      </c>
      <c r="M662" s="2" t="str">
        <f>=HYPERLINK("", "https://45772-32d1a51dffdb481d82f3b854677d5ba0-3-latest.app.beta.mgx.dev")</f>
        <v>https://45772-32d1a51dffdb481d82f3b854677d5ba0-3-latest.app.beta.mgx.dev</v>
      </c>
      <c r="N662" s="2" t="str">
        <f>=HYPERLINK("mailto:eval_62@auto.com", "eval_62@auto.com")</f>
        <v>eval_62@auto.com</v>
      </c>
      <c r="O662" t="inlineStr">
        <is>
          <t>32d1a51dffdb481d82f3b854677d5ba0</t>
        </is>
      </c>
    </row>
    <row r="663" ht="25.5" customHeight="1">
      <c r="A663" t="inlineStr">
        <is>
          <t>Word Puzzle</t>
        </is>
      </c>
      <c r="B663">
        <v>52</v>
      </c>
      <c r="C663" t="inlineStr">
        <is>
          <t>@陈佳杰</t>
        </is>
      </c>
      <c r="D663">
        <v>1</v>
      </c>
      <c r="E663"/>
      <c r="F663" t="inlineStr">
        <is>
          <t>@杨春玉</t>
        </is>
      </c>
      <c r="G663">
        <v>1</v>
      </c>
      <c r="H663"/>
      <c r="I663">
        <v>5</v>
      </c>
      <c r="J663" t="inlineStr">
        <is>
          <t>Test if the hint system button/option is visible</t>
        </is>
      </c>
      <c r="K663" t="inlineStr">
        <is>
          <t>测试提示系统按钮/选项是否可见</t>
        </is>
      </c>
      <c r="L663" s="2" t="str">
        <f>=HYPERLINK("http://pre.mgx.dev/chat/32d1a51dffdb481d82f3b854677d5ba0", "http://pre.mgx.dev/chat/32d1a51dffdb481d82f3b854677d5ba0")</f>
        <v>http://pre.mgx.dev/chat/32d1a51dffdb481d82f3b854677d5ba0</v>
      </c>
      <c r="M663" s="2" t="str">
        <f>=HYPERLINK("", "https://45772-32d1a51dffdb481d82f3b854677d5ba0-3-latest.app.beta.mgx.dev")</f>
        <v>https://45772-32d1a51dffdb481d82f3b854677d5ba0-3-latest.app.beta.mgx.dev</v>
      </c>
      <c r="N663" s="2" t="str">
        <f>=HYPERLINK("mailto:eval_62@auto.com", "eval_62@auto.com")</f>
        <v>eval_62@auto.com</v>
      </c>
      <c r="O663" t="inlineStr">
        <is>
          <t>32d1a51dffdb481d82f3b854677d5ba0</t>
        </is>
      </c>
    </row>
    <row r="664" ht="25.5" customHeight="1">
      <c r="A664" t="inlineStr">
        <is>
          <t>Word Puzzle</t>
        </is>
      </c>
      <c r="B664">
        <v>52</v>
      </c>
      <c r="C664" t="inlineStr">
        <is>
          <t>@陈佳杰</t>
        </is>
      </c>
      <c r="D664">
        <v>1</v>
      </c>
      <c r="E664"/>
      <c r="F664" t="inlineStr">
        <is>
          <t>@杨春玉</t>
        </is>
      </c>
      <c r="G664">
        <v>1</v>
      </c>
      <c r="H664"/>
      <c r="I664">
        <v>6</v>
      </c>
      <c r="J664" t="inlineStr">
        <is>
          <t>Test if the letter grid is displayed on the webpage</t>
        </is>
      </c>
      <c r="K664" t="inlineStr">
        <is>
          <t>测试网页上展示字母网格</t>
        </is>
      </c>
      <c r="L664" s="2" t="str">
        <f>=HYPERLINK("http://pre.mgx.dev/chat/32d1a51dffdb481d82f3b854677d5ba0", "http://pre.mgx.dev/chat/32d1a51dffdb481d82f3b854677d5ba0")</f>
        <v>http://pre.mgx.dev/chat/32d1a51dffdb481d82f3b854677d5ba0</v>
      </c>
      <c r="M664" s="2" t="str">
        <f>=HYPERLINK("", "https://45772-32d1a51dffdb481d82f3b854677d5ba0-3-latest.app.beta.mgx.dev")</f>
        <v>https://45772-32d1a51dffdb481d82f3b854677d5ba0-3-latest.app.beta.mgx.dev</v>
      </c>
      <c r="N664" s="2" t="str">
        <f>=HYPERLINK("mailto:eval_62@auto.com", "eval_62@auto.com")</f>
        <v>eval_62@auto.com</v>
      </c>
      <c r="O664" t="inlineStr">
        <is>
          <t>32d1a51dffdb481d82f3b854677d5ba0</t>
        </is>
      </c>
    </row>
    <row r="665" ht="25.5" customHeight="1">
      <c r="A665" t="inlineStr">
        <is>
          <t>Word Puzzle</t>
        </is>
      </c>
      <c r="B665">
        <v>52</v>
      </c>
      <c r="C665" t="inlineStr">
        <is>
          <t>@陈佳杰</t>
        </is>
      </c>
      <c r="D665">
        <v>1</v>
      </c>
      <c r="E665"/>
      <c r="F665" t="inlineStr">
        <is>
          <t>@杨春玉</t>
        </is>
      </c>
      <c r="G665">
        <v>1</v>
      </c>
      <c r="H665"/>
      <c r="I665">
        <v>7</v>
      </c>
      <c r="J665" t="inlineStr">
        <is>
          <t>Test if the score increases when a correct word is spelled</t>
        </is>
      </c>
      <c r="K665" t="inlineStr">
        <is>
          <t>测试拼出正确单词后分数增加</t>
        </is>
      </c>
      <c r="L665" s="2" t="str">
        <f>=HYPERLINK("http://pre.mgx.dev/chat/32d1a51dffdb481d82f3b854677d5ba0", "http://pre.mgx.dev/chat/32d1a51dffdb481d82f3b854677d5ba0")</f>
        <v>http://pre.mgx.dev/chat/32d1a51dffdb481d82f3b854677d5ba0</v>
      </c>
      <c r="M665" s="2" t="str">
        <f>=HYPERLINK("", "https://45772-32d1a51dffdb481d82f3b854677d5ba0-3-latest.app.beta.mgx.dev")</f>
        <v>https://45772-32d1a51dffdb481d82f3b854677d5ba0-3-latest.app.beta.mgx.dev</v>
      </c>
      <c r="N665" s="2" t="str">
        <f>=HYPERLINK("mailto:eval_62@auto.com", "eval_62@auto.com")</f>
        <v>eval_62@auto.com</v>
      </c>
      <c r="O665" t="inlineStr">
        <is>
          <t>32d1a51dffdb481d82f3b854677d5ba0</t>
        </is>
      </c>
    </row>
    <row r="666" ht="25.5" customHeight="1">
      <c r="A666" t="inlineStr">
        <is>
          <t>Word Puzzle</t>
        </is>
      </c>
      <c r="B666">
        <v>52</v>
      </c>
      <c r="C666" t="inlineStr">
        <is>
          <t>@陈佳杰</t>
        </is>
      </c>
      <c r="D666">
        <v>1</v>
      </c>
      <c r="E666"/>
      <c r="F666" t="inlineStr">
        <is>
          <t>@杨春玉</t>
        </is>
      </c>
      <c r="G666">
        <v>1</v>
      </c>
      <c r="H666"/>
      <c r="I666">
        <v>8</v>
      </c>
      <c r="J666" t="inlineStr">
        <is>
          <t>Test importing a valid custom thesaurus file</t>
        </is>
      </c>
      <c r="K666" t="inlineStr">
        <is>
          <t>测试导入有效的自定义同义词库文件</t>
        </is>
      </c>
      <c r="L666" s="2" t="str">
        <f>=HYPERLINK("http://pre.mgx.dev/chat/32d1a51dffdb481d82f3b854677d5ba0", "http://pre.mgx.dev/chat/32d1a51dffdb481d82f3b854677d5ba0")</f>
        <v>http://pre.mgx.dev/chat/32d1a51dffdb481d82f3b854677d5ba0</v>
      </c>
      <c r="M666" s="2" t="str">
        <f>=HYPERLINK("", "https://45772-32d1a51dffdb481d82f3b854677d5ba0-3-latest.app.beta.mgx.dev")</f>
        <v>https://45772-32d1a51dffdb481d82f3b854677d5ba0-3-latest.app.beta.mgx.dev</v>
      </c>
      <c r="N666" s="2" t="str">
        <f>=HYPERLINK("mailto:eval_62@auto.com", "eval_62@auto.com")</f>
        <v>eval_62@auto.com</v>
      </c>
      <c r="O666" t="inlineStr">
        <is>
          <t>32d1a51dffdb481d82f3b854677d5ba0</t>
        </is>
      </c>
    </row>
    <row r="667" ht="25.5" customHeight="1">
      <c r="A667" t="inlineStr">
        <is>
          <t>Word Puzzle</t>
        </is>
      </c>
      <c r="B667">
        <v>52</v>
      </c>
      <c r="C667" t="inlineStr">
        <is>
          <t>@陈佳杰</t>
        </is>
      </c>
      <c r="D667">
        <v>1</v>
      </c>
      <c r="E667"/>
      <c r="F667" t="inlineStr">
        <is>
          <t>@杨春玉</t>
        </is>
      </c>
      <c r="G667">
        <v>1</v>
      </c>
      <c r="H667"/>
      <c r="I667">
        <v>9</v>
      </c>
      <c r="J667" t="inlineStr">
        <is>
          <t>Test spelling a correct word from the grid</t>
        </is>
      </c>
      <c r="K667" t="inlineStr">
        <is>
          <t>测试从字母网格中拼出正确的单词</t>
        </is>
      </c>
      <c r="L667" s="2" t="str">
        <f>=HYPERLINK("http://pre.mgx.dev/chat/32d1a51dffdb481d82f3b854677d5ba0", "http://pre.mgx.dev/chat/32d1a51dffdb481d82f3b854677d5ba0")</f>
        <v>http://pre.mgx.dev/chat/32d1a51dffdb481d82f3b854677d5ba0</v>
      </c>
      <c r="M667" s="2" t="str">
        <f>=HYPERLINK("", "https://45772-32d1a51dffdb481d82f3b854677d5ba0-3-latest.app.beta.mgx.dev")</f>
        <v>https://45772-32d1a51dffdb481d82f3b854677d5ba0-3-latest.app.beta.mgx.dev</v>
      </c>
      <c r="N667" s="2" t="str">
        <f>=HYPERLINK("mailto:eval_62@auto.com", "eval_62@auto.com")</f>
        <v>eval_62@auto.com</v>
      </c>
      <c r="O667" t="inlineStr">
        <is>
          <t>32d1a51dffdb481d82f3b854677d5ba0</t>
        </is>
      </c>
    </row>
    <row r="668" ht="25.5" customHeight="1">
      <c r="A668" t="inlineStr">
        <is>
          <t>Word Puzzle</t>
        </is>
      </c>
      <c r="B668">
        <v>52</v>
      </c>
      <c r="C668" t="inlineStr">
        <is>
          <t>@陈佳杰</t>
        </is>
      </c>
      <c r="D668">
        <v>1</v>
      </c>
      <c r="E668"/>
      <c r="F668" t="inlineStr">
        <is>
          <t>@杨春玉</t>
        </is>
      </c>
      <c r="G668">
        <v>1</v>
      </c>
      <c r="H668"/>
      <c r="I668">
        <v>10</v>
      </c>
      <c r="J668" t="inlineStr">
        <is>
          <t>Test spelling an incorrect word from the grid</t>
        </is>
      </c>
      <c r="K668" t="inlineStr">
        <is>
          <t>测试从字母网格中拼出错误的单词</t>
        </is>
      </c>
      <c r="L668" s="2" t="str">
        <f>=HYPERLINK("http://pre.mgx.dev/chat/32d1a51dffdb481d82f3b854677d5ba0", "http://pre.mgx.dev/chat/32d1a51dffdb481d82f3b854677d5ba0")</f>
        <v>http://pre.mgx.dev/chat/32d1a51dffdb481d82f3b854677d5ba0</v>
      </c>
      <c r="M668" s="2" t="str">
        <f>=HYPERLINK("", "https://45772-32d1a51dffdb481d82f3b854677d5ba0-3-latest.app.beta.mgx.dev")</f>
        <v>https://45772-32d1a51dffdb481d82f3b854677d5ba0-3-latest.app.beta.mgx.dev</v>
      </c>
      <c r="N668" s="2" t="str">
        <f>=HYPERLINK("mailto:eval_62@auto.com", "eval_62@auto.com")</f>
        <v>eval_62@auto.com</v>
      </c>
      <c r="O668" t="inlineStr">
        <is>
          <t>32d1a51dffdb481d82f3b854677d5ba0</t>
        </is>
      </c>
    </row>
    <row r="669" ht="25.5" customHeight="1">
      <c r="A669" t="inlineStr">
        <is>
          <t>Word Puzzle</t>
        </is>
      </c>
      <c r="B669">
        <v>52</v>
      </c>
      <c r="C669" t="inlineStr">
        <is>
          <t>@陈佳杰</t>
        </is>
      </c>
      <c r="D669">
        <v>1</v>
      </c>
      <c r="E669"/>
      <c r="F669" t="inlineStr">
        <is>
          <t>@杨春玉</t>
        </is>
      </c>
      <c r="G669">
        <v>1</v>
      </c>
      <c r="H669"/>
      <c r="I669">
        <v>11</v>
      </c>
      <c r="J669" t="inlineStr">
        <is>
          <t>Verify that clicking the hint button provides a clue</t>
        </is>
      </c>
      <c r="K669" t="inlineStr">
        <is>
          <t>验证点击提示按钮可获得线索</t>
        </is>
      </c>
      <c r="L669" s="2" t="str">
        <f>=HYPERLINK("http://pre.mgx.dev/chat/32d1a51dffdb481d82f3b854677d5ba0", "http://pre.mgx.dev/chat/32d1a51dffdb481d82f3b854677d5ba0")</f>
        <v>http://pre.mgx.dev/chat/32d1a51dffdb481d82f3b854677d5ba0</v>
      </c>
      <c r="M669" s="2" t="str">
        <f>=HYPERLINK("", "https://45772-32d1a51dffdb481d82f3b854677d5ba0-3-latest.app.beta.mgx.dev")</f>
        <v>https://45772-32d1a51dffdb481d82f3b854677d5ba0-3-latest.app.beta.mgx.dev</v>
      </c>
      <c r="N669" s="2" t="str">
        <f>=HYPERLINK("mailto:eval_62@auto.com", "eval_62@auto.com")</f>
        <v>eval_62@auto.com</v>
      </c>
      <c r="O669" t="inlineStr">
        <is>
          <t>32d1a51dffdb481d82f3b854677d5ba0</t>
        </is>
      </c>
    </row>
    <row r="670" ht="25.5" customHeight="1">
      <c r="A670" t="inlineStr">
        <is>
          <t>Word Puzzle</t>
        </is>
      </c>
      <c r="B670">
        <v>52</v>
      </c>
      <c r="C670" t="inlineStr">
        <is>
          <t>@陈佳杰</t>
        </is>
      </c>
      <c r="D670">
        <v>1</v>
      </c>
      <c r="E670"/>
      <c r="F670" t="inlineStr">
        <is>
          <t>@杨春玉</t>
        </is>
      </c>
      <c r="G670">
        <v>1</v>
      </c>
      <c r="H670"/>
      <c r="I670">
        <v>12</v>
      </c>
      <c r="J670" t="inlineStr">
        <is>
          <t>Verify that the grid contains random letters</t>
        </is>
      </c>
      <c r="K670" t="inlineStr">
        <is>
          <t>验证网格中包含随机字母</t>
        </is>
      </c>
      <c r="L670" s="2" t="str">
        <f>=HYPERLINK("http://pre.mgx.dev/chat/32d1a51dffdb481d82f3b854677d5ba0", "http://pre.mgx.dev/chat/32d1a51dffdb481d82f3b854677d5ba0")</f>
        <v>http://pre.mgx.dev/chat/32d1a51dffdb481d82f3b854677d5ba0</v>
      </c>
      <c r="M670" s="2" t="str">
        <f>=HYPERLINK("", "https://45772-32d1a51dffdb481d82f3b854677d5ba0-3-latest.app.beta.mgx.dev")</f>
        <v>https://45772-32d1a51dffdb481d82f3b854677d5ba0-3-latest.app.beta.mgx.dev</v>
      </c>
      <c r="N670" s="2" t="str">
        <f>=HYPERLINK("mailto:eval_62@auto.com", "eval_62@auto.com")</f>
        <v>eval_62@auto.com</v>
      </c>
      <c r="O670" t="inlineStr">
        <is>
          <t>32d1a51dffdb481d82f3b854677d5ba0</t>
        </is>
      </c>
    </row>
    <row r="671" ht="25.5" customHeight="1">
      <c r="A671" t="inlineStr">
        <is>
          <t>Word Puzzle</t>
        </is>
      </c>
      <c r="B671">
        <v>52</v>
      </c>
      <c r="C671" t="inlineStr">
        <is>
          <t>@陈佳杰</t>
        </is>
      </c>
      <c r="D671">
        <v>1</v>
      </c>
      <c r="E671"/>
      <c r="F671" t="inlineStr">
        <is>
          <t>@杨春玉</t>
        </is>
      </c>
      <c r="G671">
        <v>1</v>
      </c>
      <c r="H671"/>
      <c r="I671">
        <v>13</v>
      </c>
      <c r="J671" t="inlineStr">
        <is>
          <t>Verify that the player's score is displayed on the screen</t>
        </is>
      </c>
      <c r="K671" t="inlineStr">
        <is>
          <t>验证游戏屏幕上展示玩家分数</t>
        </is>
      </c>
      <c r="L671" s="2" t="str">
        <f>=HYPERLINK("http://pre.mgx.dev/chat/32d1a51dffdb481d82f3b854677d5ba0", "http://pre.mgx.dev/chat/32d1a51dffdb481d82f3b854677d5ba0")</f>
        <v>http://pre.mgx.dev/chat/32d1a51dffdb481d82f3b854677d5ba0</v>
      </c>
      <c r="M671" s="2" t="str">
        <f>=HYPERLINK("", "https://45772-32d1a51dffdb481d82f3b854677d5ba0-3-latest.app.beta.mgx.dev")</f>
        <v>https://45772-32d1a51dffdb481d82f3b854677d5ba0-3-latest.app.beta.mgx.dev</v>
      </c>
      <c r="N671" s="2" t="str">
        <f>=HYPERLINK("mailto:eval_62@auto.com", "eval_62@auto.com")</f>
        <v>eval_62@auto.com</v>
      </c>
      <c r="O671" t="inlineStr">
        <is>
          <t>32d1a51dffdb481d82f3b854677d5ba0</t>
        </is>
      </c>
    </row>
    <row r="672" ht="25.5" customHeight="1">
      <c r="A672" t="inlineStr">
        <is>
          <t>Word Puzzle</t>
        </is>
      </c>
      <c r="B672">
        <v>52</v>
      </c>
      <c r="C672" t="inlineStr">
        <is>
          <t>@陈佳杰</t>
        </is>
      </c>
      <c r="D672">
        <v>1</v>
      </c>
      <c r="E672"/>
      <c r="F672" t="inlineStr">
        <is>
          <t>@杨春玉</t>
        </is>
      </c>
      <c r="G672">
        <v>1</v>
      </c>
      <c r="H672"/>
      <c r="I672">
        <v>14</v>
      </c>
      <c r="J672" t="inlineStr">
        <is>
          <t>Verify that words from the imported thesaurus are recognized in the game</t>
        </is>
      </c>
      <c r="K672" t="inlineStr">
        <is>
          <t>验证游戏可识别导入的同义词库中的单词</t>
        </is>
      </c>
      <c r="L672" s="2" t="str">
        <f>=HYPERLINK("http://pre.mgx.dev/chat/32d1a51dffdb481d82f3b854677d5ba0", "http://pre.mgx.dev/chat/32d1a51dffdb481d82f3b854677d5ba0")</f>
        <v>http://pre.mgx.dev/chat/32d1a51dffdb481d82f3b854677d5ba0</v>
      </c>
      <c r="M672" s="2" t="str">
        <f>=HYPERLINK("", "https://45772-32d1a51dffdb481d82f3b854677d5ba0-3-latest.app.beta.mgx.dev")</f>
        <v>https://45772-32d1a51dffdb481d82f3b854677d5ba0-3-latest.app.beta.mgx.dev</v>
      </c>
      <c r="N672" s="2" t="str">
        <f>=HYPERLINK("mailto:eval_62@auto.com", "eval_62@auto.com")</f>
        <v>eval_62@auto.com</v>
      </c>
      <c r="O672" t="inlineStr">
        <is>
          <t>32d1a51dffdb481d82f3b854677d5ba0</t>
        </is>
      </c>
    </row>
    <row r="673" ht="25.5" customHeight="1">
      <c r="A673" t="inlineStr">
        <is>
          <t>WordSearch</t>
        </is>
      </c>
      <c r="B673">
        <v>53</v>
      </c>
      <c r="C673" t="inlineStr">
        <is>
          <t>@陈佳杰</t>
        </is>
      </c>
      <c r="D673">
        <v>1</v>
      </c>
      <c r="E673"/>
      <c r="F673" t="inlineStr">
        <is>
          <t>@杨春玉</t>
        </is>
      </c>
      <c r="G673">
        <v>0</v>
      </c>
      <c r="H673" t="inlineStr">
        <is>
          <t>无书籍</t>
        </is>
      </c>
      <c r="I673">
        <v>1</v>
      </c>
      <c r="J673" t="inlineStr">
        <is>
          <t>Test performance with a large number of books and a common search term</t>
        </is>
      </c>
      <c r="K673" t="inlineStr">
        <is>
          <t>测试大量书籍和常见搜索词下的搜索性能</t>
        </is>
      </c>
      <c r="L673" s="2" t="str">
        <f>=HYPERLINK("http://pre.mgx.dev/chat/a2dac5774949464895e18034d32ade25", "http://pre.mgx.dev/chat/a2dac5774949464895e18034d32ade25")</f>
        <v>http://pre.mgx.dev/chat/a2dac5774949464895e18034d32ade25</v>
      </c>
      <c r="M673" s="2" t="str">
        <f>=HYPERLINK("", "https://45791-a2dac5774949464895e18034d32ade25-3-latest.app.beta.mgx.dev")</f>
        <v>https://45791-a2dac5774949464895e18034d32ade25-3-latest.app.beta.mgx.dev</v>
      </c>
      <c r="N673" s="2" t="str">
        <f>=HYPERLINK("mailto:eval_81@auto.com", "eval_81@auto.com")</f>
        <v>eval_81@auto.com</v>
      </c>
      <c r="O673" t="inlineStr">
        <is>
          <t>a2dac5774949464895e18034d32ade25</t>
        </is>
      </c>
    </row>
    <row r="674" ht="25.5" customHeight="1">
      <c r="A674" t="inlineStr">
        <is>
          <t>WordSearch</t>
        </is>
      </c>
      <c r="B674">
        <v>53</v>
      </c>
      <c r="C674" t="inlineStr">
        <is>
          <t>@陈佳杰</t>
        </is>
      </c>
      <c r="D674">
        <v>1</v>
      </c>
      <c r="E674"/>
      <c r="F674" t="inlineStr">
        <is>
          <t>@杨春玉</t>
        </is>
      </c>
      <c r="G674">
        <v>1</v>
      </c>
      <c r="H674"/>
      <c r="I674">
        <v>2</v>
      </c>
      <c r="J674" t="inlineStr">
        <is>
          <t>Test search button is present and clickable</t>
        </is>
      </c>
      <c r="K674" t="inlineStr">
        <is>
          <t>测试搜索按钮存在且可点击</t>
        </is>
      </c>
      <c r="L674" s="2" t="str">
        <f>=HYPERLINK("http://pre.mgx.dev/chat/a2dac5774949464895e18034d32ade25", "http://pre.mgx.dev/chat/a2dac5774949464895e18034d32ade25")</f>
        <v>http://pre.mgx.dev/chat/a2dac5774949464895e18034d32ade25</v>
      </c>
      <c r="M674" s="2" t="str">
        <f>=HYPERLINK("", "https://45791-a2dac5774949464895e18034d32ade25-3-latest.app.beta.mgx.dev")</f>
        <v>https://45791-a2dac5774949464895e18034d32ade25-3-latest.app.beta.mgx.dev</v>
      </c>
      <c r="N674" s="2" t="str">
        <f>=HYPERLINK("mailto:eval_81@auto.com", "eval_81@auto.com")</f>
        <v>eval_81@auto.com</v>
      </c>
      <c r="O674" t="inlineStr">
        <is>
          <t>a2dac5774949464895e18034d32ade25</t>
        </is>
      </c>
    </row>
    <row r="675" ht="25.5" customHeight="1">
      <c r="A675" t="inlineStr">
        <is>
          <t>WordSearch</t>
        </is>
      </c>
      <c r="B675">
        <v>53</v>
      </c>
      <c r="C675" t="inlineStr">
        <is>
          <t>@陈佳杰</t>
        </is>
      </c>
      <c r="D675">
        <v>1</v>
      </c>
      <c r="E675"/>
      <c r="F675" t="inlineStr">
        <is>
          <t>@杨春玉</t>
        </is>
      </c>
      <c r="G675">
        <v>1</v>
      </c>
      <c r="H675"/>
      <c r="I675">
        <v>3</v>
      </c>
      <c r="J675" t="inlineStr">
        <is>
          <t>Test search interface displays text input field</t>
        </is>
      </c>
      <c r="K675" t="inlineStr">
        <is>
          <t>测试搜索界面展示文本输入框</t>
        </is>
      </c>
      <c r="L675" s="2" t="str">
        <f>=HYPERLINK("http://pre.mgx.dev/chat/a2dac5774949464895e18034d32ade25", "http://pre.mgx.dev/chat/a2dac5774949464895e18034d32ade25")</f>
        <v>http://pre.mgx.dev/chat/a2dac5774949464895e18034d32ade25</v>
      </c>
      <c r="M675" s="2" t="str">
        <f>=HYPERLINK("", "https://45791-a2dac5774949464895e18034d32ade25-3-latest.app.beta.mgx.dev")</f>
        <v>https://45791-a2dac5774949464895e18034d32ade25-3-latest.app.beta.mgx.dev</v>
      </c>
      <c r="N675" s="2" t="str">
        <f>=HYPERLINK("mailto:eval_81@auto.com", "eval_81@auto.com")</f>
        <v>eval_81@auto.com</v>
      </c>
      <c r="O675" t="inlineStr">
        <is>
          <t>a2dac5774949464895e18034d32ade25</t>
        </is>
      </c>
    </row>
    <row r="676" ht="25.5" customHeight="1">
      <c r="A676" t="inlineStr">
        <is>
          <t>WordSearch</t>
        </is>
      </c>
      <c r="B676">
        <v>53</v>
      </c>
      <c r="C676" t="inlineStr">
        <is>
          <t>@陈佳杰</t>
        </is>
      </c>
      <c r="D676">
        <v>1</v>
      </c>
      <c r="E676"/>
      <c r="F676" t="inlineStr">
        <is>
          <t>@杨春玉</t>
        </is>
      </c>
      <c r="G676">
        <v>1</v>
      </c>
      <c r="H676"/>
      <c r="I676">
        <v>4</v>
      </c>
      <c r="J676" t="inlineStr">
        <is>
          <t>Test searching for a non-existent word returns no results</t>
        </is>
      </c>
      <c r="K676" t="inlineStr">
        <is>
          <t>测试搜索不存在的单词返回无结果</t>
        </is>
      </c>
      <c r="L676" s="2" t="str">
        <f>=HYPERLINK("http://pre.mgx.dev/chat/a2dac5774949464895e18034d32ade25", "http://pre.mgx.dev/chat/a2dac5774949464895e18034d32ade25")</f>
        <v>http://pre.mgx.dev/chat/a2dac5774949464895e18034d32ade25</v>
      </c>
      <c r="M676" s="2" t="str">
        <f>=HYPERLINK("", "https://45791-a2dac5774949464895e18034d32ade25-3-latest.app.beta.mgx.dev")</f>
        <v>https://45791-a2dac5774949464895e18034d32ade25-3-latest.app.beta.mgx.dev</v>
      </c>
      <c r="N676" s="2" t="str">
        <f>=HYPERLINK("mailto:eval_81@auto.com", "eval_81@auto.com")</f>
        <v>eval_81@auto.com</v>
      </c>
      <c r="O676" t="inlineStr">
        <is>
          <t>a2dac5774949464895e18034d32ade25</t>
        </is>
      </c>
    </row>
    <row r="677" ht="25.5" customHeight="1">
      <c r="A677" t="inlineStr">
        <is>
          <t>WordSearch</t>
        </is>
      </c>
      <c r="B677">
        <v>53</v>
      </c>
      <c r="C677" t="inlineStr">
        <is>
          <t>@陈佳杰</t>
        </is>
      </c>
      <c r="D677">
        <v>1</v>
      </c>
      <c r="E677"/>
      <c r="F677" t="inlineStr">
        <is>
          <t>@杨春玉</t>
        </is>
      </c>
      <c r="G677">
        <v>0</v>
      </c>
      <c r="H677" t="inlineStr">
        <is>
          <t>返回无结果</t>
        </is>
      </c>
      <c r="I677">
        <v>5</v>
      </c>
      <c r="J677" t="inlineStr">
        <is>
          <t>Test searching for a single word returns results</t>
        </is>
      </c>
      <c r="K677" t="inlineStr">
        <is>
          <t>测试搜索单个单词返回结果</t>
        </is>
      </c>
      <c r="L677" s="2" t="str">
        <f>=HYPERLINK("http://pre.mgx.dev/chat/a2dac5774949464895e18034d32ade25", "http://pre.mgx.dev/chat/a2dac5774949464895e18034d32ade25")</f>
        <v>http://pre.mgx.dev/chat/a2dac5774949464895e18034d32ade25</v>
      </c>
      <c r="M677" s="2" t="str">
        <f>=HYPERLINK("", "https://45791-a2dac5774949464895e18034d32ade25-3-latest.app.beta.mgx.dev")</f>
        <v>https://45791-a2dac5774949464895e18034d32ade25-3-latest.app.beta.mgx.dev</v>
      </c>
      <c r="N677" s="2" t="str">
        <f>=HYPERLINK("mailto:eval_81@auto.com", "eval_81@auto.com")</f>
        <v>eval_81@auto.com</v>
      </c>
      <c r="O677" t="inlineStr">
        <is>
          <t>a2dac5774949464895e18034d32ade25</t>
        </is>
      </c>
    </row>
    <row r="678" ht="25.5" customHeight="1">
      <c r="A678" t="inlineStr">
        <is>
          <t>WordSearch</t>
        </is>
      </c>
      <c r="B678">
        <v>53</v>
      </c>
      <c r="C678" t="inlineStr">
        <is>
          <t>@陈佳杰</t>
        </is>
      </c>
      <c r="D678">
        <v>0</v>
      </c>
      <c r="E678" t="inlineStr">
        <is>
          <t>缺少错误提示，输入为空，交互无效果</t>
        </is>
      </c>
      <c r="F678" t="inlineStr">
        <is>
          <t>@杨春玉</t>
        </is>
      </c>
      <c r="G678">
        <v>0</v>
      </c>
      <c r="H678" t="inlineStr">
        <is>
          <t>返回无结果</t>
        </is>
      </c>
      <c r="I678">
        <v>6</v>
      </c>
      <c r="J678" t="inlineStr">
        <is>
          <t>Test searching with empty input displays an error message</t>
        </is>
      </c>
      <c r="K678" t="inlineStr">
        <is>
          <t>测试空输入搜索时展示错误提示</t>
        </is>
      </c>
      <c r="L678" s="2" t="str">
        <f>=HYPERLINK("http://pre.mgx.dev/chat/a2dac5774949464895e18034d32ade25", "http://pre.mgx.dev/chat/a2dac5774949464895e18034d32ade25")</f>
        <v>http://pre.mgx.dev/chat/a2dac5774949464895e18034d32ade25</v>
      </c>
      <c r="M678" s="2" t="str">
        <f>=HYPERLINK("", "https://45791-a2dac5774949464895e18034d32ade25-3-latest.app.beta.mgx.dev")</f>
        <v>https://45791-a2dac5774949464895e18034d32ade25-3-latest.app.beta.mgx.dev</v>
      </c>
      <c r="N678" s="2" t="str">
        <f>=HYPERLINK("mailto:eval_81@auto.com", "eval_81@auto.com")</f>
        <v>eval_81@auto.com</v>
      </c>
      <c r="O678" t="inlineStr">
        <is>
          <t>a2dac5774949464895e18034d32ade25</t>
        </is>
      </c>
    </row>
    <row r="679" ht="25.5" customHeight="1">
      <c r="A679" t="inlineStr">
        <is>
          <t>white blog desgin</t>
        </is>
      </c>
      <c r="B679">
        <v>54</v>
      </c>
      <c r="C679" t="inlineStr">
        <is>
          <t>@陈佳杰</t>
        </is>
      </c>
      <c r="D679">
        <v>1</v>
      </c>
      <c r="E679"/>
      <c r="F679" t="inlineStr">
        <is>
          <t>@杨春玉</t>
        </is>
      </c>
      <c r="G679">
        <v>1</v>
      </c>
      <c r="H679"/>
      <c r="I679">
        <v>1</v>
      </c>
      <c r="J679" t="inlineStr">
        <is>
          <t>Check if Secondary Blog Cards are displayed in a two-column layout</t>
        </is>
      </c>
      <c r="K679" t="inlineStr">
        <is>
          <t>检查次级博客卡片是否以双列布局展示</t>
        </is>
      </c>
      <c r="L679" s="2" t="str">
        <f>=HYPERLINK("http://pre.mgx.dev/chat/b86c857c9db24b9fbfe1bf1cd2f7670a", "http://pre.mgx.dev/chat/b86c857c9db24b9fbfe1bf1cd2f7670a")</f>
        <v>http://pre.mgx.dev/chat/b86c857c9db24b9fbfe1bf1cd2f7670a</v>
      </c>
      <c r="M679" s="2" t="str">
        <f>=HYPERLINK("", "https://45757-b86c857c9db24b9fbfe1bf1cd2f7670a-3-latest.app.beta.mgx.dev")</f>
        <v>https://45757-b86c857c9db24b9fbfe1bf1cd2f7670a-3-latest.app.beta.mgx.dev</v>
      </c>
      <c r="N679" s="2" t="str">
        <f>=HYPERLINK("mailto:eval_47@auto.com", "eval_47@auto.com")</f>
        <v>eval_47@auto.com</v>
      </c>
      <c r="O679" t="inlineStr">
        <is>
          <t>b86c857c9db24b9fbfe1bf1cd2f7670a</t>
        </is>
      </c>
    </row>
    <row r="680" ht="25.5" customHeight="1">
      <c r="A680" t="inlineStr">
        <is>
          <t>white blog desgin</t>
        </is>
      </c>
      <c r="B680">
        <v>54</v>
      </c>
      <c r="C680" t="inlineStr">
        <is>
          <t>@陈佳杰</t>
        </is>
      </c>
      <c r="D680">
        <v>1</v>
      </c>
      <c r="E680"/>
      <c r="F680" t="inlineStr">
        <is>
          <t>@杨春玉</t>
        </is>
      </c>
      <c r="G680">
        <v>1</v>
      </c>
      <c r="H680"/>
      <c r="I680">
        <v>2</v>
      </c>
      <c r="J680" t="inlineStr">
        <is>
          <t>Check if the Navigation Bar contains Home, Blog Categories, About Me, and social media links</t>
        </is>
      </c>
      <c r="K680" t="inlineStr">
        <is>
          <t>检查导航栏是否包含首页、博客分类、关于我和社交媒体链接</t>
        </is>
      </c>
      <c r="L680" s="2" t="str">
        <f>=HYPERLINK("http://pre.mgx.dev/chat/b86c857c9db24b9fbfe1bf1cd2f7670a", "http://pre.mgx.dev/chat/b86c857c9db24b9fbfe1bf1cd2f7670a")</f>
        <v>http://pre.mgx.dev/chat/b86c857c9db24b9fbfe1bf1cd2f7670a</v>
      </c>
      <c r="M680" s="2" t="str">
        <f>=HYPERLINK("", "https://45757-b86c857c9db24b9fbfe1bf1cd2f7670a-3-latest.app.beta.mgx.dev")</f>
        <v>https://45757-b86c857c9db24b9fbfe1bf1cd2f7670a-3-latest.app.beta.mgx.dev</v>
      </c>
      <c r="N680" s="2" t="str">
        <f>=HYPERLINK("mailto:eval_47@auto.com", "eval_47@auto.com")</f>
        <v>eval_47@auto.com</v>
      </c>
      <c r="O680" t="inlineStr">
        <is>
          <t>b86c857c9db24b9fbfe1bf1cd2f7670a</t>
        </is>
      </c>
    </row>
    <row r="681" ht="25.5" customHeight="1">
      <c r="A681" t="inlineStr">
        <is>
          <t>white blog desgin</t>
        </is>
      </c>
      <c r="B681">
        <v>54</v>
      </c>
      <c r="C681" t="inlineStr">
        <is>
          <t>@陈佳杰</t>
        </is>
      </c>
      <c r="D681">
        <v>1</v>
      </c>
      <c r="E681"/>
      <c r="F681" t="inlineStr">
        <is>
          <t>@杨春玉</t>
        </is>
      </c>
      <c r="G681">
        <v>1</v>
      </c>
      <c r="H681"/>
      <c r="I681">
        <v>3</v>
      </c>
      <c r="J681" t="inlineStr">
        <is>
          <t>Check if the Sidebar includes Blog Category filtering</t>
        </is>
      </c>
      <c r="K681" t="inlineStr">
        <is>
          <t>检查侧边栏是否包含博客分类筛选功能</t>
        </is>
      </c>
      <c r="L681" s="2" t="str">
        <f>=HYPERLINK("http://pre.mgx.dev/chat/b86c857c9db24b9fbfe1bf1cd2f7670a", "http://pre.mgx.dev/chat/b86c857c9db24b9fbfe1bf1cd2f7670a")</f>
        <v>http://pre.mgx.dev/chat/b86c857c9db24b9fbfe1bf1cd2f7670a</v>
      </c>
      <c r="M681" s="2" t="str">
        <f>=HYPERLINK("", "https://45757-b86c857c9db24b9fbfe1bf1cd2f7670a-3-latest.app.beta.mgx.dev")</f>
        <v>https://45757-b86c857c9db24b9fbfe1bf1cd2f7670a-3-latest.app.beta.mgx.dev</v>
      </c>
      <c r="N681" s="2" t="str">
        <f>=HYPERLINK("mailto:eval_47@auto.com", "eval_47@auto.com")</f>
        <v>eval_47@auto.com</v>
      </c>
      <c r="O681" t="inlineStr">
        <is>
          <t>b86c857c9db24b9fbfe1bf1cd2f7670a</t>
        </is>
      </c>
    </row>
    <row r="682" ht="25.5" customHeight="1">
      <c r="A682" t="inlineStr">
        <is>
          <t>white blog desgin</t>
        </is>
      </c>
      <c r="B682">
        <v>54</v>
      </c>
      <c r="C682" t="inlineStr">
        <is>
          <t>@陈佳杰</t>
        </is>
      </c>
      <c r="D682">
        <v>1</v>
      </c>
      <c r="E682"/>
      <c r="F682" t="inlineStr">
        <is>
          <t>@杨春玉</t>
        </is>
      </c>
      <c r="G682">
        <v>1</v>
      </c>
      <c r="H682"/>
      <c r="I682">
        <v>4</v>
      </c>
      <c r="J682" t="inlineStr">
        <is>
          <t>Confirm the Main Blog Card is displayed</t>
        </is>
      </c>
      <c r="K682" t="inlineStr">
        <is>
          <t>确认展示主博客卡片</t>
        </is>
      </c>
      <c r="L682" s="2" t="str">
        <f>=HYPERLINK("http://pre.mgx.dev/chat/b86c857c9db24b9fbfe1bf1cd2f7670a", "http://pre.mgx.dev/chat/b86c857c9db24b9fbfe1bf1cd2f7670a")</f>
        <v>http://pre.mgx.dev/chat/b86c857c9db24b9fbfe1bf1cd2f7670a</v>
      </c>
      <c r="M682" s="2" t="str">
        <f>=HYPERLINK("", "https://45757-b86c857c9db24b9fbfe1bf1cd2f7670a-3-latest.app.beta.mgx.dev")</f>
        <v>https://45757-b86c857c9db24b9fbfe1bf1cd2f7670a-3-latest.app.beta.mgx.dev</v>
      </c>
      <c r="N682" s="2" t="str">
        <f>=HYPERLINK("mailto:eval_47@auto.com", "eval_47@auto.com")</f>
        <v>eval_47@auto.com</v>
      </c>
      <c r="O682" t="inlineStr">
        <is>
          <t>b86c857c9db24b9fbfe1bf1cd2f7670a</t>
        </is>
      </c>
    </row>
    <row r="683" ht="25.5" customHeight="1">
      <c r="A683" t="inlineStr">
        <is>
          <t>white blog desgin</t>
        </is>
      </c>
      <c r="B683">
        <v>54</v>
      </c>
      <c r="C683" t="inlineStr">
        <is>
          <t>@陈佳杰</t>
        </is>
      </c>
      <c r="D683">
        <v>1</v>
      </c>
      <c r="E683"/>
      <c r="F683" t="inlineStr">
        <is>
          <t>@杨春玉</t>
        </is>
      </c>
      <c r="G683">
        <v>1</v>
      </c>
      <c r="H683"/>
      <c r="I683">
        <v>5</v>
      </c>
      <c r="J683" t="inlineStr">
        <is>
          <t>Confirm the presence of the Sidebar</t>
        </is>
      </c>
      <c r="K683" t="inlineStr">
        <is>
          <t>确认存在侧边栏</t>
        </is>
      </c>
      <c r="L683" s="2" t="str">
        <f>=HYPERLINK("http://pre.mgx.dev/chat/b86c857c9db24b9fbfe1bf1cd2f7670a", "http://pre.mgx.dev/chat/b86c857c9db24b9fbfe1bf1cd2f7670a")</f>
        <v>http://pre.mgx.dev/chat/b86c857c9db24b9fbfe1bf1cd2f7670a</v>
      </c>
      <c r="M683" s="2" t="str">
        <f>=HYPERLINK("", "https://45757-b86c857c9db24b9fbfe1bf1cd2f7670a-3-latest.app.beta.mgx.dev")</f>
        <v>https://45757-b86c857c9db24b9fbfe1bf1cd2f7670a-3-latest.app.beta.mgx.dev</v>
      </c>
      <c r="N683" s="2" t="str">
        <f>=HYPERLINK("mailto:eval_47@auto.com", "eval_47@auto.com")</f>
        <v>eval_47@auto.com</v>
      </c>
      <c r="O683" t="inlineStr">
        <is>
          <t>b86c857c9db24b9fbfe1bf1cd2f7670a</t>
        </is>
      </c>
    </row>
    <row r="684" ht="25.5" customHeight="1">
      <c r="A684" t="inlineStr">
        <is>
          <t>white blog desgin</t>
        </is>
      </c>
      <c r="B684">
        <v>54</v>
      </c>
      <c r="C684" t="inlineStr">
        <is>
          <t>@陈佳杰</t>
        </is>
      </c>
      <c r="D684">
        <v>1</v>
      </c>
      <c r="E684"/>
      <c r="F684" t="inlineStr">
        <is>
          <t>@杨春玉</t>
        </is>
      </c>
      <c r="G684">
        <v>1</v>
      </c>
      <c r="H684"/>
      <c r="I684">
        <v>6</v>
      </c>
      <c r="J684" t="inlineStr">
        <is>
          <t>Test responsiveness on desktop by resizing browser window</t>
        </is>
      </c>
      <c r="K684" t="inlineStr">
        <is>
          <t>测试在电脑端调整浏览器窗口大小，验证页面响应性</t>
        </is>
      </c>
      <c r="L684" s="2" t="str">
        <f>=HYPERLINK("http://pre.mgx.dev/chat/b86c857c9db24b9fbfe1bf1cd2f7670a", "http://pre.mgx.dev/chat/b86c857c9db24b9fbfe1bf1cd2f7670a")</f>
        <v>http://pre.mgx.dev/chat/b86c857c9db24b9fbfe1bf1cd2f7670a</v>
      </c>
      <c r="M684" s="2" t="str">
        <f>=HYPERLINK("", "https://45757-b86c857c9db24b9fbfe1bf1cd2f7670a-3-latest.app.beta.mgx.dev")</f>
        <v>https://45757-b86c857c9db24b9fbfe1bf1cd2f7670a-3-latest.app.beta.mgx.dev</v>
      </c>
      <c r="N684" s="2" t="str">
        <f>=HYPERLINK("mailto:eval_47@auto.com", "eval_47@auto.com")</f>
        <v>eval_47@auto.com</v>
      </c>
      <c r="O684" t="inlineStr">
        <is>
          <t>b86c857c9db24b9fbfe1bf1cd2f7670a</t>
        </is>
      </c>
    </row>
    <row r="685" ht="25.5" customHeight="1">
      <c r="A685" t="inlineStr">
        <is>
          <t>white blog desgin</t>
        </is>
      </c>
      <c r="B685">
        <v>54</v>
      </c>
      <c r="C685" t="inlineStr">
        <is>
          <t>@陈佳杰</t>
        </is>
      </c>
      <c r="D685">
        <v>1</v>
      </c>
      <c r="E685"/>
      <c r="F685" t="inlineStr">
        <is>
          <t>@杨春玉</t>
        </is>
      </c>
      <c r="G685">
        <v>1</v>
      </c>
      <c r="H685"/>
      <c r="I685">
        <v>7</v>
      </c>
      <c r="J685" t="inlineStr">
        <is>
          <t>Verify Secondary Blog Cards contain thumbnails, titles, author information, short previews, and reading links</t>
        </is>
      </c>
      <c r="K685" t="inlineStr">
        <is>
          <t>验证次级博客卡片包含缩略图、标题、作者信息、简短预览和阅读链接</t>
        </is>
      </c>
      <c r="L685" s="2" t="str">
        <f>=HYPERLINK("http://pre.mgx.dev/chat/b86c857c9db24b9fbfe1bf1cd2f7670a", "http://pre.mgx.dev/chat/b86c857c9db24b9fbfe1bf1cd2f7670a")</f>
        <v>http://pre.mgx.dev/chat/b86c857c9db24b9fbfe1bf1cd2f7670a</v>
      </c>
      <c r="M685" s="2" t="str">
        <f>=HYPERLINK("", "https://45757-b86c857c9db24b9fbfe1bf1cd2f7670a-3-latest.app.beta.mgx.dev")</f>
        <v>https://45757-b86c857c9db24b9fbfe1bf1cd2f7670a-3-latest.app.beta.mgx.dev</v>
      </c>
      <c r="N685" s="2" t="str">
        <f>=HYPERLINK("mailto:eval_47@auto.com", "eval_47@auto.com")</f>
        <v>eval_47@auto.com</v>
      </c>
      <c r="O685" t="inlineStr">
        <is>
          <t>b86c857c9db24b9fbfe1bf1cd2f7670a</t>
        </is>
      </c>
    </row>
    <row r="686" ht="25.5" customHeight="1">
      <c r="A686" t="inlineStr">
        <is>
          <t>white blog desgin</t>
        </is>
      </c>
      <c r="B686">
        <v>54</v>
      </c>
      <c r="C686" t="inlineStr">
        <is>
          <t>@陈佳杰</t>
        </is>
      </c>
      <c r="D686">
        <v>1</v>
      </c>
      <c r="E686"/>
      <c r="F686" t="inlineStr">
        <is>
          <t>@杨春玉</t>
        </is>
      </c>
      <c r="G686">
        <v>1</v>
      </c>
      <c r="H686"/>
      <c r="I686">
        <v>8</v>
      </c>
      <c r="J686" t="inlineStr">
        <is>
          <t>Verify the Main Blog Card contains a full-width image, title, author information, time, text preview, and 'Read More' button</t>
        </is>
      </c>
      <c r="K686" t="inlineStr">
        <is>
          <t>验证主博客卡片包含通栏图片、标题、作者信息、发布时间、文本预览和“阅读更多”按钮</t>
        </is>
      </c>
      <c r="L686" s="2" t="str">
        <f>=HYPERLINK("http://pre.mgx.dev/chat/b86c857c9db24b9fbfe1bf1cd2f7670a", "http://pre.mgx.dev/chat/b86c857c9db24b9fbfe1bf1cd2f7670a")</f>
        <v>http://pre.mgx.dev/chat/b86c857c9db24b9fbfe1bf1cd2f7670a</v>
      </c>
      <c r="M686" s="2" t="str">
        <f>=HYPERLINK("", "https://45757-b86c857c9db24b9fbfe1bf1cd2f7670a-3-latest.app.beta.mgx.dev")</f>
        <v>https://45757-b86c857c9db24b9fbfe1bf1cd2f7670a-3-latest.app.beta.mgx.dev</v>
      </c>
      <c r="N686" s="2" t="str">
        <f>=HYPERLINK("mailto:eval_47@auto.com", "eval_47@auto.com")</f>
        <v>eval_47@auto.com</v>
      </c>
      <c r="O686" t="inlineStr">
        <is>
          <t>b86c857c9db24b9fbfe1bf1cd2f7670a</t>
        </is>
      </c>
    </row>
    <row r="687" ht="25.5" customHeight="1">
      <c r="A687" t="inlineStr">
        <is>
          <t>white blog desgin</t>
        </is>
      </c>
      <c r="B687">
        <v>54</v>
      </c>
      <c r="C687" t="inlineStr">
        <is>
          <t>@陈佳杰</t>
        </is>
      </c>
      <c r="D687">
        <v>0</v>
      </c>
      <c r="E687" t="inlineStr">
        <is>
          <t>无交互</t>
        </is>
      </c>
      <c r="F687" t="inlineStr">
        <is>
          <t>@杨春玉</t>
        </is>
      </c>
      <c r="G687">
        <v>1</v>
      </c>
      <c r="H687"/>
      <c r="I687">
        <v>9</v>
      </c>
      <c r="J687" t="inlineStr">
        <is>
          <t>Verify the Sidebar contains About Me section with avatar, short introduction, and social media icons</t>
        </is>
      </c>
      <c r="K687" t="inlineStr">
        <is>
          <t>验证侧边栏包含关于我板块，展示头像、简短介绍和社交媒体图标</t>
        </is>
      </c>
      <c r="L687" s="2" t="str">
        <f>=HYPERLINK("http://pre.mgx.dev/chat/b86c857c9db24b9fbfe1bf1cd2f7670a", "http://pre.mgx.dev/chat/b86c857c9db24b9fbfe1bf1cd2f7670a")</f>
        <v>http://pre.mgx.dev/chat/b86c857c9db24b9fbfe1bf1cd2f7670a</v>
      </c>
      <c r="M687" s="2" t="str">
        <f>=HYPERLINK("", "https://45757-b86c857c9db24b9fbfe1bf1cd2f7670a-3-latest.app.beta.mgx.dev")</f>
        <v>https://45757-b86c857c9db24b9fbfe1bf1cd2f7670a-3-latest.app.beta.mgx.dev</v>
      </c>
      <c r="N687" s="2" t="str">
        <f>=HYPERLINK("mailto:eval_47@auto.com", "eval_47@auto.com")</f>
        <v>eval_47@auto.com</v>
      </c>
      <c r="O687" t="inlineStr">
        <is>
          <t>b86c857c9db24b9fbfe1bf1cd2f7670a</t>
        </is>
      </c>
    </row>
    <row r="688" ht="25.5" customHeight="1">
      <c r="A688" t="inlineStr">
        <is>
          <t>white blog desgin</t>
        </is>
      </c>
      <c r="B688">
        <v>54</v>
      </c>
      <c r="C688" t="inlineStr">
        <is>
          <t>@陈佳杰</t>
        </is>
      </c>
      <c r="D688">
        <v>1</v>
      </c>
      <c r="E688"/>
      <c r="F688" t="inlineStr">
        <is>
          <t>@杨春玉</t>
        </is>
      </c>
      <c r="G688">
        <v>1</v>
      </c>
      <c r="H688"/>
      <c r="I688">
        <v>10</v>
      </c>
      <c r="J688" t="inlineStr">
        <is>
          <t>Verify the Sidebar displays Today's Recommendations with featured content card, thumbnails, and short descriptions</t>
        </is>
      </c>
      <c r="K688" t="inlineStr">
        <is>
          <t>验证侧边栏展示今日推荐板块，包含精选内容卡片、缩略图和简短描述</t>
        </is>
      </c>
      <c r="L688" s="2" t="str">
        <f>=HYPERLINK("http://pre.mgx.dev/chat/b86c857c9db24b9fbfe1bf1cd2f7670a", "http://pre.mgx.dev/chat/b86c857c9db24b9fbfe1bf1cd2f7670a")</f>
        <v>http://pre.mgx.dev/chat/b86c857c9db24b9fbfe1bf1cd2f7670a</v>
      </c>
      <c r="M688" s="2" t="str">
        <f>=HYPERLINK("", "https://45757-b86c857c9db24b9fbfe1bf1cd2f7670a-3-latest.app.beta.mgx.dev")</f>
        <v>https://45757-b86c857c9db24b9fbfe1bf1cd2f7670a-3-latest.app.beta.mgx.dev</v>
      </c>
      <c r="N688" s="2" t="str">
        <f>=HYPERLINK("mailto:eval_47@auto.com", "eval_47@auto.com")</f>
        <v>eval_47@auto.com</v>
      </c>
      <c r="O688" t="inlineStr">
        <is>
          <t>b86c857c9db24b9fbfe1bf1cd2f7670a</t>
        </is>
      </c>
    </row>
    <row r="689" ht="25.5" customHeight="1">
      <c r="A689" t="inlineStr">
        <is>
          <t>white blog desgin</t>
        </is>
      </c>
      <c r="B689">
        <v>54</v>
      </c>
      <c r="C689" t="inlineStr">
        <is>
          <t>@陈佳杰</t>
        </is>
      </c>
      <c r="D689">
        <v>1</v>
      </c>
      <c r="E689"/>
      <c r="F689" t="inlineStr">
        <is>
          <t>@杨春玉</t>
        </is>
      </c>
      <c r="G689">
        <v>1</v>
      </c>
      <c r="H689"/>
      <c r="I689">
        <v>11</v>
      </c>
      <c r="J689" t="inlineStr">
        <is>
          <t>Verify the presence of the Navigation Bar</t>
        </is>
      </c>
      <c r="K689" t="inlineStr">
        <is>
          <t>验证存在导航栏</t>
        </is>
      </c>
      <c r="L689" s="2" t="str">
        <f>=HYPERLINK("http://pre.mgx.dev/chat/b86c857c9db24b9fbfe1bf1cd2f7670a", "http://pre.mgx.dev/chat/b86c857c9db24b9fbfe1bf1cd2f7670a")</f>
        <v>http://pre.mgx.dev/chat/b86c857c9db24b9fbfe1bf1cd2f7670a</v>
      </c>
      <c r="M689" s="2" t="str">
        <f>=HYPERLINK("", "https://45757-b86c857c9db24b9fbfe1bf1cd2f7670a-3-latest.app.beta.mgx.dev")</f>
        <v>https://45757-b86c857c9db24b9fbfe1bf1cd2f7670a-3-latest.app.beta.mgx.dev</v>
      </c>
      <c r="N689" s="2" t="str">
        <f>=HYPERLINK("mailto:eval_47@auto.com", "eval_47@auto.com")</f>
        <v>eval_47@auto.com</v>
      </c>
      <c r="O689" t="inlineStr">
        <is>
          <t>b86c857c9db24b9fbfe1bf1cd2f7670a</t>
        </is>
      </c>
    </row>
    <row r="690" ht="25.5" customHeight="1">
      <c r="A690" t="inlineStr">
        <is>
          <t>Photography Portfolio</t>
        </is>
      </c>
      <c r="B690">
        <v>55</v>
      </c>
      <c r="C690" t="inlineStr">
        <is>
          <t>@陈佳杰</t>
        </is>
      </c>
      <c r="D690">
        <v>0</v>
      </c>
      <c r="E690" t="inlineStr">
        <is>
          <t>没有提供上传图片的入口</t>
        </is>
      </c>
      <c r="F690" t="inlineStr">
        <is>
          <t>@杨春玉</t>
        </is>
      </c>
      <c r="G690">
        <v>0</v>
      </c>
      <c r="H690" t="inlineStr">
        <is>
          <t>无上传功能</t>
        </is>
      </c>
      <c r="I690">
        <v>1</v>
      </c>
      <c r="J690" t="inlineStr">
        <is>
          <t>Test uploading Raw format image</t>
        </is>
      </c>
      <c r="K690" t="inlineStr">
        <is>
          <t>测试上传原始格式图片</t>
        </is>
      </c>
      <c r="L690" s="2" t="str">
        <f>=HYPERLINK("http://pre.mgx.dev/chat/2998addecdd24c38a477b13a6a65f39f", "http://pre.mgx.dev/chat/2998addecdd24c38a477b13a6a65f39f")</f>
        <v>http://pre.mgx.dev/chat/2998addecdd24c38a477b13a6a65f39f</v>
      </c>
      <c r="M690" s="2" t="str">
        <f>=HYPERLINK("", "https://45743-2998addecdd24c38a477b13a6a65f39f-3-latest.app.beta.mgx.dev")</f>
        <v>https://45743-2998addecdd24c38a477b13a6a65f39f-3-latest.app.beta.mgx.dev</v>
      </c>
      <c r="N690" s="2" t="str">
        <f>=HYPERLINK("mailto:eval_33@auto.com", "eval_33@auto.com")</f>
        <v>eval_33@auto.com</v>
      </c>
      <c r="O690" t="inlineStr">
        <is>
          <t>2998addecdd24c38a477b13a6a65f39f</t>
        </is>
      </c>
    </row>
    <row r="691" ht="25.5" customHeight="1">
      <c r="A691" t="inlineStr">
        <is>
          <t>Photography Portfolio</t>
        </is>
      </c>
      <c r="B691">
        <v>55</v>
      </c>
      <c r="C691" t="inlineStr">
        <is>
          <t>@陈佳杰</t>
        </is>
      </c>
      <c r="D691">
        <v>0</v>
      </c>
      <c r="E691" t="inlineStr">
        <is>
          <t>没有提供上传图片的入口</t>
        </is>
      </c>
      <c r="F691" t="inlineStr">
        <is>
          <t>@杨春玉</t>
        </is>
      </c>
      <c r="G691">
        <v>0</v>
      </c>
      <c r="H691" t="inlineStr">
        <is>
          <t>无上传功能</t>
        </is>
      </c>
      <c r="I691">
        <v>2</v>
      </c>
      <c r="J691" t="inlineStr">
        <is>
          <t>Test uploading standard format image</t>
        </is>
      </c>
      <c r="K691" t="inlineStr">
        <is>
          <t>测试上传标准格式图片</t>
        </is>
      </c>
      <c r="L691" s="2" t="str">
        <f>=HYPERLINK("http://pre.mgx.dev/chat/2998addecdd24c38a477b13a6a65f39f", "http://pre.mgx.dev/chat/2998addecdd24c38a477b13a6a65f39f")</f>
        <v>http://pre.mgx.dev/chat/2998addecdd24c38a477b13a6a65f39f</v>
      </c>
      <c r="M691" s="2" t="str">
        <f>=HYPERLINK("", "https://45743-2998addecdd24c38a477b13a6a65f39f-3-latest.app.beta.mgx.dev")</f>
        <v>https://45743-2998addecdd24c38a477b13a6a65f39f-3-latest.app.beta.mgx.dev</v>
      </c>
      <c r="N691" s="2" t="str">
        <f>=HYPERLINK("mailto:eval_33@auto.com", "eval_33@auto.com")</f>
        <v>eval_33@auto.com</v>
      </c>
      <c r="O691" t="inlineStr">
        <is>
          <t>2998addecdd24c38a477b13a6a65f39f</t>
        </is>
      </c>
    </row>
    <row r="692" ht="25.5" customHeight="1">
      <c r="A692" t="inlineStr">
        <is>
          <t>Photography Portfolio</t>
        </is>
      </c>
      <c r="B692">
        <v>55</v>
      </c>
      <c r="C692" t="inlineStr">
        <is>
          <t>@陈佳杰</t>
        </is>
      </c>
      <c r="D692">
        <v>1</v>
      </c>
      <c r="E692"/>
      <c r="F692" t="inlineStr">
        <is>
          <t>@杨春玉</t>
        </is>
      </c>
      <c r="G692">
        <v>0</v>
      </c>
      <c r="H692" t="inlineStr">
        <is>
          <t>无上传功能</t>
        </is>
      </c>
      <c r="I692">
        <v>3</v>
      </c>
      <c r="J692" t="inlineStr">
        <is>
          <t>Verify Raw and standard format images display correctly</t>
        </is>
      </c>
      <c r="K692" t="inlineStr">
        <is>
          <t>验证原始格式和标准格式图片均正确展示</t>
        </is>
      </c>
      <c r="L692" s="2" t="str">
        <f>=HYPERLINK("http://pre.mgx.dev/chat/2998addecdd24c38a477b13a6a65f39f", "http://pre.mgx.dev/chat/2998addecdd24c38a477b13a6a65f39f")</f>
        <v>http://pre.mgx.dev/chat/2998addecdd24c38a477b13a6a65f39f</v>
      </c>
      <c r="M692" s="2" t="str">
        <f>=HYPERLINK("", "https://45743-2998addecdd24c38a477b13a6a65f39f-3-latest.app.beta.mgx.dev")</f>
        <v>https://45743-2998addecdd24c38a477b13a6a65f39f-3-latest.app.beta.mgx.dev</v>
      </c>
      <c r="N692" s="2" t="str">
        <f>=HYPERLINK("mailto:eval_33@auto.com", "eval_33@auto.com")</f>
        <v>eval_33@auto.com</v>
      </c>
      <c r="O692" t="inlineStr">
        <is>
          <t>2998addecdd24c38a477b13a6a65f39f</t>
        </is>
      </c>
    </row>
    <row r="693" ht="25.5" customHeight="1">
      <c r="A693" t="inlineStr">
        <is>
          <t>Photography Portfolio</t>
        </is>
      </c>
      <c r="B693">
        <v>55</v>
      </c>
      <c r="C693" t="inlineStr">
        <is>
          <t>@陈佳杰</t>
        </is>
      </c>
      <c r="D693">
        <v>1</v>
      </c>
      <c r="E693"/>
      <c r="F693" t="inlineStr">
        <is>
          <t>@杨春玉</t>
        </is>
      </c>
      <c r="G693">
        <v>1</v>
      </c>
      <c r="H693"/>
      <c r="I693">
        <v>4</v>
      </c>
      <c r="J693" t="inlineStr">
        <is>
          <t>Check if grid layout is used for image thumbnails</t>
        </is>
      </c>
      <c r="K693" t="inlineStr">
        <is>
          <t>检查图片缩略图是否使用网格布局</t>
        </is>
      </c>
      <c r="L693" s="2" t="str">
        <f>=HYPERLINK("http://pre.mgx.dev/chat/2998addecdd24c38a477b13a6a65f39f", "http://pre.mgx.dev/chat/2998addecdd24c38a477b13a6a65f39f")</f>
        <v>http://pre.mgx.dev/chat/2998addecdd24c38a477b13a6a65f39f</v>
      </c>
      <c r="M693" s="2" t="str">
        <f>=HYPERLINK("", "https://45743-2998addecdd24c38a477b13a6a65f39f-3-latest.app.beta.mgx.dev")</f>
        <v>https://45743-2998addecdd24c38a477b13a6a65f39f-3-latest.app.beta.mgx.dev</v>
      </c>
      <c r="N693" s="2" t="str">
        <f>=HYPERLINK("mailto:eval_33@auto.com", "eval_33@auto.com")</f>
        <v>eval_33@auto.com</v>
      </c>
      <c r="O693" t="inlineStr">
        <is>
          <t>2998addecdd24c38a477b13a6a65f39f</t>
        </is>
      </c>
    </row>
    <row r="694" ht="25.5" customHeight="1">
      <c r="A694" t="inlineStr">
        <is>
          <t>Photography Portfolio</t>
        </is>
      </c>
      <c r="B694">
        <v>55</v>
      </c>
      <c r="C694" t="inlineStr">
        <is>
          <t>@陈佳杰</t>
        </is>
      </c>
      <c r="D694">
        <v>1</v>
      </c>
      <c r="E694"/>
      <c r="F694" t="inlineStr">
        <is>
          <t>@杨春玉</t>
        </is>
      </c>
      <c r="G694">
        <v>1</v>
      </c>
      <c r="H694"/>
      <c r="I694">
        <v>5</v>
      </c>
      <c r="J694" t="inlineStr">
        <is>
          <t>Verify thumbnails are properly sized and aligned</t>
        </is>
      </c>
      <c r="K694" t="inlineStr">
        <is>
          <t>验证缩略图尺寸合适且对齐整齐</t>
        </is>
      </c>
      <c r="L694" s="2" t="str">
        <f>=HYPERLINK("http://pre.mgx.dev/chat/2998addecdd24c38a477b13a6a65f39f", "http://pre.mgx.dev/chat/2998addecdd24c38a477b13a6a65f39f")</f>
        <v>http://pre.mgx.dev/chat/2998addecdd24c38a477b13a6a65f39f</v>
      </c>
      <c r="M694" s="2" t="str">
        <f>=HYPERLINK("", "https://45743-2998addecdd24c38a477b13a6a65f39f-3-latest.app.beta.mgx.dev")</f>
        <v>https://45743-2998addecdd24c38a477b13a6a65f39f-3-latest.app.beta.mgx.dev</v>
      </c>
      <c r="N694" s="2" t="str">
        <f>=HYPERLINK("mailto:eval_33@auto.com", "eval_33@auto.com")</f>
        <v>eval_33@auto.com</v>
      </c>
      <c r="O694" t="inlineStr">
        <is>
          <t>2998addecdd24c38a477b13a6a65f39f</t>
        </is>
      </c>
    </row>
    <row r="695" ht="25.5" customHeight="1">
      <c r="A695" t="inlineStr">
        <is>
          <t>Photography Portfolio</t>
        </is>
      </c>
      <c r="B695">
        <v>55</v>
      </c>
      <c r="C695" t="inlineStr">
        <is>
          <t>@陈佳杰</t>
        </is>
      </c>
      <c r="D695">
        <v>1</v>
      </c>
      <c r="E695"/>
      <c r="F695" t="inlineStr">
        <is>
          <t>@杨春玉</t>
        </is>
      </c>
      <c r="G695">
        <v>1</v>
      </c>
      <c r="H695"/>
      <c r="I695">
        <v>6</v>
      </c>
      <c r="J695" t="inlineStr">
        <is>
          <t>Test categorization of photos by themes</t>
        </is>
      </c>
      <c r="K695" t="inlineStr">
        <is>
          <t>测试按主题对照片分类</t>
        </is>
      </c>
      <c r="L695" s="2" t="str">
        <f>=HYPERLINK("http://pre.mgx.dev/chat/2998addecdd24c38a477b13a6a65f39f", "http://pre.mgx.dev/chat/2998addecdd24c38a477b13a6a65f39f")</f>
        <v>http://pre.mgx.dev/chat/2998addecdd24c38a477b13a6a65f39f</v>
      </c>
      <c r="M695" s="2" t="str">
        <f>=HYPERLINK("", "https://45743-2998addecdd24c38a477b13a6a65f39f-3-latest.app.beta.mgx.dev")</f>
        <v>https://45743-2998addecdd24c38a477b13a6a65f39f-3-latest.app.beta.mgx.dev</v>
      </c>
      <c r="N695" s="2" t="str">
        <f>=HYPERLINK("mailto:eval_33@auto.com", "eval_33@auto.com")</f>
        <v>eval_33@auto.com</v>
      </c>
      <c r="O695" t="inlineStr">
        <is>
          <t>2998addecdd24c38a477b13a6a65f39f</t>
        </is>
      </c>
    </row>
    <row r="696" ht="25.5" customHeight="1">
      <c r="A696" t="inlineStr">
        <is>
          <t>Photography Portfolio</t>
        </is>
      </c>
      <c r="B696">
        <v>55</v>
      </c>
      <c r="C696" t="inlineStr">
        <is>
          <t>@陈佳杰</t>
        </is>
      </c>
      <c r="D696">
        <v>1</v>
      </c>
      <c r="E696"/>
      <c r="F696" t="inlineStr">
        <is>
          <t>@杨春玉</t>
        </is>
      </c>
      <c r="G696">
        <v>1</v>
      </c>
      <c r="H696"/>
      <c r="I696">
        <v>7</v>
      </c>
      <c r="J696" t="inlineStr">
        <is>
          <t>Verify filter functionality for different themes</t>
        </is>
      </c>
      <c r="K696" t="inlineStr">
        <is>
          <t>验证不同主题的筛选功能</t>
        </is>
      </c>
      <c r="L696" s="2" t="str">
        <f>=HYPERLINK("http://pre.mgx.dev/chat/2998addecdd24c38a477b13a6a65f39f", "http://pre.mgx.dev/chat/2998addecdd24c38a477b13a6a65f39f")</f>
        <v>http://pre.mgx.dev/chat/2998addecdd24c38a477b13a6a65f39f</v>
      </c>
      <c r="M696" s="2" t="str">
        <f>=HYPERLINK("", "https://45743-2998addecdd24c38a477b13a6a65f39f-3-latest.app.beta.mgx.dev")</f>
        <v>https://45743-2998addecdd24c38a477b13a6a65f39f-3-latest.app.beta.mgx.dev</v>
      </c>
      <c r="N696" s="2" t="str">
        <f>=HYPERLINK("mailto:eval_33@auto.com", "eval_33@auto.com")</f>
        <v>eval_33@auto.com</v>
      </c>
      <c r="O696" t="inlineStr">
        <is>
          <t>2998addecdd24c38a477b13a6a65f39f</t>
        </is>
      </c>
    </row>
    <row r="697" ht="25.5" customHeight="1">
      <c r="A697" t="inlineStr">
        <is>
          <t>Photography Portfolio</t>
        </is>
      </c>
      <c r="B697">
        <v>55</v>
      </c>
      <c r="C697" t="inlineStr">
        <is>
          <t>@陈佳杰</t>
        </is>
      </c>
      <c r="D697">
        <v>1</v>
      </c>
      <c r="E697"/>
      <c r="F697" t="inlineStr">
        <is>
          <t>@杨春玉</t>
        </is>
      </c>
      <c r="G697">
        <v>1</v>
      </c>
      <c r="H697"/>
      <c r="I697">
        <v>8</v>
      </c>
      <c r="J697" t="inlineStr">
        <is>
          <t>Ensure all themes are displayed and selectable</t>
        </is>
      </c>
      <c r="K697" t="inlineStr">
        <is>
          <t>确保所有主题均展示且可选择</t>
        </is>
      </c>
      <c r="L697" s="2" t="str">
        <f>=HYPERLINK("http://pre.mgx.dev/chat/2998addecdd24c38a477b13a6a65f39f", "http://pre.mgx.dev/chat/2998addecdd24c38a477b13a6a65f39f")</f>
        <v>http://pre.mgx.dev/chat/2998addecdd24c38a477b13a6a65f39f</v>
      </c>
      <c r="M697" s="2" t="str">
        <f>=HYPERLINK("", "https://45743-2998addecdd24c38a477b13a6a65f39f-3-latest.app.beta.mgx.dev")</f>
        <v>https://45743-2998addecdd24c38a477b13a6a65f39f-3-latest.app.beta.mgx.dev</v>
      </c>
      <c r="N697" s="2" t="str">
        <f>=HYPERLINK("mailto:eval_33@auto.com", "eval_33@auto.com")</f>
        <v>eval_33@auto.com</v>
      </c>
      <c r="O697" t="inlineStr">
        <is>
          <t>2998addecdd24c38a477b13a6a65f39f</t>
        </is>
      </c>
    </row>
    <row r="698" ht="25.5" customHeight="1">
      <c r="A698" t="inlineStr">
        <is>
          <t>Photography Portfolio</t>
        </is>
      </c>
      <c r="B698">
        <v>55</v>
      </c>
      <c r="C698" t="inlineStr">
        <is>
          <t>@陈佳杰</t>
        </is>
      </c>
      <c r="D698">
        <v>1</v>
      </c>
      <c r="E698"/>
      <c r="F698" t="inlineStr">
        <is>
          <t>@杨春玉</t>
        </is>
      </c>
      <c r="G698">
        <v>1</v>
      </c>
      <c r="H698"/>
      <c r="I698">
        <v>9</v>
      </c>
      <c r="J698" t="inlineStr">
        <is>
          <t>Test image zoom-in preview feature</t>
        </is>
      </c>
      <c r="K698" t="inlineStr">
        <is>
          <t>测试图片放大预览功能</t>
        </is>
      </c>
      <c r="L698" s="2" t="str">
        <f>=HYPERLINK("http://pre.mgx.dev/chat/2998addecdd24c38a477b13a6a65f39f", "http://pre.mgx.dev/chat/2998addecdd24c38a477b13a6a65f39f")</f>
        <v>http://pre.mgx.dev/chat/2998addecdd24c38a477b13a6a65f39f</v>
      </c>
      <c r="M698" s="2" t="str">
        <f>=HYPERLINK("", "https://45743-2998addecdd24c38a477b13a6a65f39f-3-latest.app.beta.mgx.dev")</f>
        <v>https://45743-2998addecdd24c38a477b13a6a65f39f-3-latest.app.beta.mgx.dev</v>
      </c>
      <c r="N698" s="2" t="str">
        <f>=HYPERLINK("mailto:eval_33@auto.com", "eval_33@auto.com")</f>
        <v>eval_33@auto.com</v>
      </c>
      <c r="O698" t="inlineStr">
        <is>
          <t>2998addecdd24c38a477b13a6a65f39f</t>
        </is>
      </c>
    </row>
    <row r="699" ht="25.5" customHeight="1">
      <c r="A699" t="inlineStr">
        <is>
          <t>Photography Portfolio</t>
        </is>
      </c>
      <c r="B699">
        <v>55</v>
      </c>
      <c r="C699" t="inlineStr">
        <is>
          <t>@陈佳杰</t>
        </is>
      </c>
      <c r="D699">
        <v>0</v>
      </c>
      <c r="E699" t="inlineStr">
        <is>
          <t>没有提供上传图片的入口</t>
        </is>
      </c>
      <c r="F699" t="inlineStr">
        <is>
          <t>@杨春玉</t>
        </is>
      </c>
      <c r="G699">
        <v>0</v>
      </c>
      <c r="H699" t="inlineStr">
        <is>
          <t>无上传功能</t>
        </is>
      </c>
      <c r="I699">
        <v>10</v>
      </c>
      <c r="J699" t="inlineStr">
        <is>
          <t>Check if zoom-in works for both Raw and standard format images</t>
        </is>
      </c>
      <c r="K699" t="inlineStr">
        <is>
          <t>检查原始格式和标准格式图片的放大功能均正常</t>
        </is>
      </c>
      <c r="L699" s="2" t="str">
        <f>=HYPERLINK("http://pre.mgx.dev/chat/2998addecdd24c38a477b13a6a65f39f", "http://pre.mgx.dev/chat/2998addecdd24c38a477b13a6a65f39f")</f>
        <v>http://pre.mgx.dev/chat/2998addecdd24c38a477b13a6a65f39f</v>
      </c>
      <c r="M699" s="2" t="str">
        <f>=HYPERLINK("", "https://45743-2998addecdd24c38a477b13a6a65f39f-3-latest.app.beta.mgx.dev")</f>
        <v>https://45743-2998addecdd24c38a477b13a6a65f39f-3-latest.app.beta.mgx.dev</v>
      </c>
      <c r="N699" s="2" t="str">
        <f>=HYPERLINK("mailto:eval_33@auto.com", "eval_33@auto.com")</f>
        <v>eval_33@auto.com</v>
      </c>
      <c r="O699" t="inlineStr">
        <is>
          <t>2998addecdd24c38a477b13a6a65f39f</t>
        </is>
      </c>
    </row>
    <row r="700" ht="25.5" customHeight="1">
      <c r="A700" t="inlineStr">
        <is>
          <t>Photography Portfolio</t>
        </is>
      </c>
      <c r="B700">
        <v>55</v>
      </c>
      <c r="C700" t="inlineStr">
        <is>
          <t>@陈佳杰</t>
        </is>
      </c>
      <c r="D700">
        <v>1</v>
      </c>
      <c r="E700"/>
      <c r="F700" t="inlineStr">
        <is>
          <t>@杨春玉</t>
        </is>
      </c>
      <c r="G700">
        <v>1</v>
      </c>
      <c r="H700"/>
      <c r="I700">
        <v>11</v>
      </c>
      <c r="J700" t="inlineStr">
        <is>
          <t>Verify EXIF information display for each photo</t>
        </is>
      </c>
      <c r="K700" t="inlineStr">
        <is>
          <t>验证每幅照片展示EXIF信息</t>
        </is>
      </c>
      <c r="L700" s="2" t="str">
        <f>=HYPERLINK("http://pre.mgx.dev/chat/2998addecdd24c38a477b13a6a65f39f", "http://pre.mgx.dev/chat/2998addecdd24c38a477b13a6a65f39f")</f>
        <v>http://pre.mgx.dev/chat/2998addecdd24c38a477b13a6a65f39f</v>
      </c>
      <c r="M700" s="2" t="str">
        <f>=HYPERLINK("", "https://45743-2998addecdd24c38a477b13a6a65f39f-3-latest.app.beta.mgx.dev")</f>
        <v>https://45743-2998addecdd24c38a477b13a6a65f39f-3-latest.app.beta.mgx.dev</v>
      </c>
      <c r="N700" s="2" t="str">
        <f>=HYPERLINK("mailto:eval_33@auto.com", "eval_33@auto.com")</f>
        <v>eval_33@auto.com</v>
      </c>
      <c r="O700" t="inlineStr">
        <is>
          <t>2998addecdd24c38a477b13a6a65f39f</t>
        </is>
      </c>
    </row>
    <row r="701" ht="25.5" customHeight="1">
      <c r="A701" t="inlineStr">
        <is>
          <t>Photography Portfolio</t>
        </is>
      </c>
      <c r="B701">
        <v>55</v>
      </c>
      <c r="C701" t="inlineStr">
        <is>
          <t>@陈佳杰</t>
        </is>
      </c>
      <c r="D701">
        <v>1</v>
      </c>
      <c r="E701"/>
      <c r="F701" t="inlineStr">
        <is>
          <t>@杨春玉</t>
        </is>
      </c>
      <c r="G701">
        <v>1</v>
      </c>
      <c r="H701"/>
      <c r="I701">
        <v>12</v>
      </c>
      <c r="J701" t="inlineStr">
        <is>
          <t>Verify creative story text is displayed for each photo</t>
        </is>
      </c>
      <c r="K701" t="inlineStr">
        <is>
          <t>验证每幅照片展示创意故事文本</t>
        </is>
      </c>
      <c r="L701" s="2" t="str">
        <f>=HYPERLINK("http://pre.mgx.dev/chat/2998addecdd24c38a477b13a6a65f39f", "http://pre.mgx.dev/chat/2998addecdd24c38a477b13a6a65f39f")</f>
        <v>http://pre.mgx.dev/chat/2998addecdd24c38a477b13a6a65f39f</v>
      </c>
      <c r="M701" s="2" t="str">
        <f>=HYPERLINK("", "https://45743-2998addecdd24c38a477b13a6a65f39f-3-latest.app.beta.mgx.dev")</f>
        <v>https://45743-2998addecdd24c38a477b13a6a65f39f-3-latest.app.beta.mgx.dev</v>
      </c>
      <c r="N701" s="2" t="str">
        <f>=HYPERLINK("mailto:eval_33@auto.com", "eval_33@auto.com")</f>
        <v>eval_33@auto.com</v>
      </c>
      <c r="O701" t="inlineStr">
        <is>
          <t>2998addecdd24c38a477b13a6a65f39f</t>
        </is>
      </c>
    </row>
    <row r="702" ht="25.5" customHeight="1">
      <c r="A702" t="inlineStr">
        <is>
          <t>Photography Portfolio</t>
        </is>
      </c>
      <c r="B702">
        <v>55</v>
      </c>
      <c r="C702" t="inlineStr">
        <is>
          <t>@陈佳杰</t>
        </is>
      </c>
      <c r="D702">
        <v>1</v>
      </c>
      <c r="E702"/>
      <c r="F702" t="inlineStr">
        <is>
          <t>@杨春玉</t>
        </is>
      </c>
      <c r="G702">
        <v>1</v>
      </c>
      <c r="H702"/>
      <c r="I702">
        <v>13</v>
      </c>
      <c r="J702" t="inlineStr">
        <is>
          <t>Test photo search functionality</t>
        </is>
      </c>
      <c r="K702" t="inlineStr">
        <is>
          <t>测试照片搜索功能</t>
        </is>
      </c>
      <c r="L702" s="2" t="str">
        <f>=HYPERLINK("http://pre.mgx.dev/chat/2998addecdd24c38a477b13a6a65f39f", "http://pre.mgx.dev/chat/2998addecdd24c38a477b13a6a65f39f")</f>
        <v>http://pre.mgx.dev/chat/2998addecdd24c38a477b13a6a65f39f</v>
      </c>
      <c r="M702" s="2" t="str">
        <f>=HYPERLINK("", "https://45743-2998addecdd24c38a477b13a6a65f39f-3-latest.app.beta.mgx.dev")</f>
        <v>https://45743-2998addecdd24c38a477b13a6a65f39f-3-latest.app.beta.mgx.dev</v>
      </c>
      <c r="N702" s="2" t="str">
        <f>=HYPERLINK("mailto:eval_33@auto.com", "eval_33@auto.com")</f>
        <v>eval_33@auto.com</v>
      </c>
      <c r="O702" t="inlineStr">
        <is>
          <t>2998addecdd24c38a477b13a6a65f39f</t>
        </is>
      </c>
    </row>
    <row r="703" ht="25.5" customHeight="1">
      <c r="A703" t="inlineStr">
        <is>
          <t>Photography Portfolio</t>
        </is>
      </c>
      <c r="B703">
        <v>55</v>
      </c>
      <c r="C703" t="inlineStr">
        <is>
          <t>@陈佳杰</t>
        </is>
      </c>
      <c r="D703">
        <v>1</v>
      </c>
      <c r="E703"/>
      <c r="F703" t="inlineStr">
        <is>
          <t>@杨春玉</t>
        </is>
      </c>
      <c r="G703">
        <v>1</v>
      </c>
      <c r="H703"/>
      <c r="I703">
        <v>14</v>
      </c>
      <c r="J703" t="inlineStr">
        <is>
          <t>Verify search results accuracy for various keywords</t>
        </is>
      </c>
      <c r="K703" t="inlineStr">
        <is>
          <t>验证各类关键词的搜索结果准确性</t>
        </is>
      </c>
      <c r="L703" s="2" t="str">
        <f>=HYPERLINK("http://pre.mgx.dev/chat/2998addecdd24c38a477b13a6a65f39f", "http://pre.mgx.dev/chat/2998addecdd24c38a477b13a6a65f39f")</f>
        <v>http://pre.mgx.dev/chat/2998addecdd24c38a477b13a6a65f39f</v>
      </c>
      <c r="M703" s="2" t="str">
        <f>=HYPERLINK("", "https://45743-2998addecdd24c38a477b13a6a65f39f-3-latest.app.beta.mgx.dev")</f>
        <v>https://45743-2998addecdd24c38a477b13a6a65f39f-3-latest.app.beta.mgx.dev</v>
      </c>
      <c r="N703" s="2" t="str">
        <f>=HYPERLINK("mailto:eval_33@auto.com", "eval_33@auto.com")</f>
        <v>eval_33@auto.com</v>
      </c>
      <c r="O703" t="inlineStr">
        <is>
          <t>2998addecdd24c38a477b13a6a65f39f</t>
        </is>
      </c>
    </row>
    <row r="704" ht="25.5" customHeight="1">
      <c r="A704" t="inlineStr">
        <is>
          <t>Personal Status Board</t>
        </is>
      </c>
      <c r="B704">
        <v>56</v>
      </c>
      <c r="C704" t="inlineStr">
        <is>
          <t>@陈佳杰</t>
        </is>
      </c>
      <c r="D704">
        <v>0</v>
      </c>
      <c r="E704" t="inlineStr">
        <is>
          <t>缺少个人状态展示页面</t>
        </is>
      </c>
      <c r="F704" t="inlineStr">
        <is>
          <t>@杨春玉</t>
        </is>
      </c>
      <c r="G704">
        <v>0</v>
      </c>
      <c r="H704" t="inlineStr">
        <is>
          <t>数据一直为0，图表未显示</t>
        </is>
      </c>
      <c r="I704">
        <v>1</v>
      </c>
      <c r="J704" t="inlineStr">
        <is>
          <t>Verify that the personal status presentation page loads correctly</t>
        </is>
      </c>
      <c r="K704" t="inlineStr">
        <is>
          <t>验证个人状态展示页面加载正常</t>
        </is>
      </c>
      <c r="L704" s="2" t="str">
        <f>=HYPERLINK("http://pre.mgx.dev/chat/29c14498b5a34193b5ed7cac1aa26d55", "http://pre.mgx.dev/chat/29c14498b5a34193b5ed7cac1aa26d55")</f>
        <v>http://pre.mgx.dev/chat/29c14498b5a34193b5ed7cac1aa26d55</v>
      </c>
      <c r="M704" s="2" t="str">
        <f>=HYPERLINK("", "https://45785-29c14498b5a34193b5ed7cac1aa26d55-3-latest.app.beta.mgx.dev")</f>
        <v>https://45785-29c14498b5a34193b5ed7cac1aa26d55-3-latest.app.beta.mgx.dev</v>
      </c>
      <c r="N704" s="2" t="str">
        <f>=HYPERLINK("mailto:eval_75@auto.com", "eval_75@auto.com")</f>
        <v>eval_75@auto.com</v>
      </c>
      <c r="O704" t="inlineStr">
        <is>
          <t>29c14498b5a34193b5ed7cac1aa26d55</t>
        </is>
      </c>
    </row>
    <row r="705" ht="25.5" customHeight="1">
      <c r="A705" t="inlineStr">
        <is>
          <t>Personal Status Board</t>
        </is>
      </c>
      <c r="B705">
        <v>56</v>
      </c>
      <c r="C705" t="inlineStr">
        <is>
          <t>@陈佳杰</t>
        </is>
      </c>
      <c r="D705">
        <v>1</v>
      </c>
      <c r="E705"/>
      <c r="F705" t="inlineStr">
        <is>
          <t>@杨春玉</t>
        </is>
      </c>
      <c r="G705">
        <v>1</v>
      </c>
      <c r="H705"/>
      <c r="I705">
        <v>2</v>
      </c>
      <c r="J705" t="inlineStr">
        <is>
          <t>Check if the card layout is used to display different categories of data</t>
        </is>
      </c>
      <c r="K705" t="inlineStr">
        <is>
          <t>检查是否使用卡片布局展示不同类别的数据</t>
        </is>
      </c>
      <c r="L705" s="2" t="str">
        <f>=HYPERLINK("http://pre.mgx.dev/chat/29c14498b5a34193b5ed7cac1aa26d55", "http://pre.mgx.dev/chat/29c14498b5a34193b5ed7cac1aa26d55")</f>
        <v>http://pre.mgx.dev/chat/29c14498b5a34193b5ed7cac1aa26d55</v>
      </c>
      <c r="M705" s="2" t="str">
        <f>=HYPERLINK("", "https://45785-29c14498b5a34193b5ed7cac1aa26d55-3-latest.app.beta.mgx.dev")</f>
        <v>https://45785-29c14498b5a34193b5ed7cac1aa26d55-3-latest.app.beta.mgx.dev</v>
      </c>
      <c r="N705" s="2" t="str">
        <f>=HYPERLINK("mailto:eval_75@auto.com", "eval_75@auto.com")</f>
        <v>eval_75@auto.com</v>
      </c>
      <c r="O705" t="inlineStr">
        <is>
          <t>29c14498b5a34193b5ed7cac1aa26d55</t>
        </is>
      </c>
    </row>
    <row r="706" ht="25.5" customHeight="1">
      <c r="A706" t="inlineStr">
        <is>
          <t>Personal Status Board</t>
        </is>
      </c>
      <c r="B706">
        <v>56</v>
      </c>
      <c r="C706" t="inlineStr">
        <is>
          <t>@陈佳杰</t>
        </is>
      </c>
      <c r="D706">
        <v>0</v>
      </c>
      <c r="E706" t="inlineStr">
        <is>
          <t>无数据</t>
        </is>
      </c>
      <c r="F706" t="inlineStr">
        <is>
          <t>@杨春玉</t>
        </is>
      </c>
      <c r="G706">
        <v>1</v>
      </c>
      <c r="H706"/>
      <c r="I706">
        <v>3</v>
      </c>
      <c r="J706" t="inlineStr">
        <is>
          <t>Ensure all required data categories (exercise log, reading log, habit tracking, goal completion) are present on the page</t>
        </is>
      </c>
      <c r="K706" t="inlineStr">
        <is>
          <t>确保页面上存在所有必填数据类别（运动记录、阅读记录、习惯打卡、目标完成情况）</t>
        </is>
      </c>
      <c r="L706" s="2" t="str">
        <f>=HYPERLINK("http://pre.mgx.dev/chat/29c14498b5a34193b5ed7cac1aa26d55", "http://pre.mgx.dev/chat/29c14498b5a34193b5ed7cac1aa26d55")</f>
        <v>http://pre.mgx.dev/chat/29c14498b5a34193b5ed7cac1aa26d55</v>
      </c>
      <c r="M706" s="2" t="str">
        <f>=HYPERLINK("", "https://45785-29c14498b5a34193b5ed7cac1aa26d55-3-latest.app.beta.mgx.dev")</f>
        <v>https://45785-29c14498b5a34193b5ed7cac1aa26d55-3-latest.app.beta.mgx.dev</v>
      </c>
      <c r="N706" s="2" t="str">
        <f>=HYPERLINK("mailto:eval_75@auto.com", "eval_75@auto.com")</f>
        <v>eval_75@auto.com</v>
      </c>
      <c r="O706" t="inlineStr">
        <is>
          <t>29c14498b5a34193b5ed7cac1aa26d55</t>
        </is>
      </c>
    </row>
    <row r="707" ht="25.5" customHeight="1">
      <c r="A707" t="inlineStr">
        <is>
          <t>Personal Status Board</t>
        </is>
      </c>
      <c r="B707">
        <v>56</v>
      </c>
      <c r="C707" t="inlineStr">
        <is>
          <t>@陈佳杰</t>
        </is>
      </c>
      <c r="D707">
        <v>0</v>
      </c>
      <c r="E707" t="inlineStr">
        <is>
          <t>无数据</t>
        </is>
      </c>
      <c r="F707" t="inlineStr">
        <is>
          <t>@杨春玉</t>
        </is>
      </c>
      <c r="G707">
        <v>0</v>
      </c>
      <c r="H707" t="inlineStr">
        <is>
          <t>没有显示进度条</t>
        </is>
      </c>
      <c r="I707">
        <v>4</v>
      </c>
      <c r="J707" t="inlineStr">
        <is>
          <t>Verify that the progress bar module is displayed on the page</t>
        </is>
      </c>
      <c r="K707" t="inlineStr">
        <is>
          <t>验证页面上展示进度条模块</t>
        </is>
      </c>
      <c r="L707" s="2" t="str">
        <f>=HYPERLINK("http://pre.mgx.dev/chat/29c14498b5a34193b5ed7cac1aa26d55", "http://pre.mgx.dev/chat/29c14498b5a34193b5ed7cac1aa26d55")</f>
        <v>http://pre.mgx.dev/chat/29c14498b5a34193b5ed7cac1aa26d55</v>
      </c>
      <c r="M707" s="2" t="str">
        <f>=HYPERLINK("", "https://45785-29c14498b5a34193b5ed7cac1aa26d55-3-latest.app.beta.mgx.dev")</f>
        <v>https://45785-29c14498b5a34193b5ed7cac1aa26d55-3-latest.app.beta.mgx.dev</v>
      </c>
      <c r="N707" s="2" t="str">
        <f>=HYPERLINK("mailto:eval_75@auto.com", "eval_75@auto.com")</f>
        <v>eval_75@auto.com</v>
      </c>
      <c r="O707" t="inlineStr">
        <is>
          <t>29c14498b5a34193b5ed7cac1aa26d55</t>
        </is>
      </c>
    </row>
    <row r="708" ht="25.5" customHeight="1">
      <c r="A708" t="inlineStr">
        <is>
          <t>Personal Status Board</t>
        </is>
      </c>
      <c r="B708">
        <v>56</v>
      </c>
      <c r="C708" t="inlineStr">
        <is>
          <t>@陈佳杰</t>
        </is>
      </c>
      <c r="D708">
        <v>0</v>
      </c>
      <c r="E708" t="inlineStr">
        <is>
          <t>无数据</t>
        </is>
      </c>
      <c r="F708" t="inlineStr">
        <is>
          <t>@杨春玉</t>
        </is>
      </c>
      <c r="G708">
        <v>0</v>
      </c>
      <c r="H708" t="inlineStr">
        <is>
          <t>没有显示进度条</t>
        </is>
      </c>
      <c r="I708">
        <v>5</v>
      </c>
      <c r="J708" t="inlineStr">
        <is>
          <t>Check if the progress bar accurately reflects the current goal completion percentage</t>
        </is>
      </c>
      <c r="K708" t="inlineStr">
        <is>
          <t>检查进度条准确反映当前的目标完成百分比</t>
        </is>
      </c>
      <c r="L708" s="2" t="str">
        <f>=HYPERLINK("http://pre.mgx.dev/chat/29c14498b5a34193b5ed7cac1aa26d55", "http://pre.mgx.dev/chat/29c14498b5a34193b5ed7cac1aa26d55")</f>
        <v>http://pre.mgx.dev/chat/29c14498b5a34193b5ed7cac1aa26d55</v>
      </c>
      <c r="M708" s="2" t="str">
        <f>=HYPERLINK("", "https://45785-29c14498b5a34193b5ed7cac1aa26d55-3-latest.app.beta.mgx.dev")</f>
        <v>https://45785-29c14498b5a34193b5ed7cac1aa26d55-3-latest.app.beta.mgx.dev</v>
      </c>
      <c r="N708" s="2" t="str">
        <f>=HYPERLINK("mailto:eval_75@auto.com", "eval_75@auto.com")</f>
        <v>eval_75@auto.com</v>
      </c>
      <c r="O708" t="inlineStr">
        <is>
          <t>29c14498b5a34193b5ed7cac1aa26d55</t>
        </is>
      </c>
    </row>
    <row r="709" ht="25.5" customHeight="1">
      <c r="A709" t="inlineStr">
        <is>
          <t>Personal Status Board</t>
        </is>
      </c>
      <c r="B709">
        <v>56</v>
      </c>
      <c r="C709" t="inlineStr">
        <is>
          <t>@陈佳杰</t>
        </is>
      </c>
      <c r="D709">
        <v>0</v>
      </c>
      <c r="E709" t="inlineStr">
        <is>
          <t>无法交互</t>
        </is>
      </c>
      <c r="F709" t="inlineStr">
        <is>
          <t>@杨春玉</t>
        </is>
      </c>
      <c r="G709">
        <v>0</v>
      </c>
      <c r="H709" t="inlineStr">
        <is>
          <t>无法更新目标</t>
        </is>
      </c>
      <c r="I709">
        <v>6</v>
      </c>
      <c r="J709" t="inlineStr">
        <is>
          <t>Test updating goal progress and confirm the progress bar updates accordingly</t>
        </is>
      </c>
      <c r="K709" t="inlineStr">
        <is>
          <t>测试更新目标进度并确认进度条同步更新</t>
        </is>
      </c>
      <c r="L709" s="2" t="str">
        <f>=HYPERLINK("http://pre.mgx.dev/chat/29c14498b5a34193b5ed7cac1aa26d55", "http://pre.mgx.dev/chat/29c14498b5a34193b5ed7cac1aa26d55")</f>
        <v>http://pre.mgx.dev/chat/29c14498b5a34193b5ed7cac1aa26d55</v>
      </c>
      <c r="M709" s="2" t="str">
        <f>=HYPERLINK("", "https://45785-29c14498b5a34193b5ed7cac1aa26d55-3-latest.app.beta.mgx.dev")</f>
        <v>https://45785-29c14498b5a34193b5ed7cac1aa26d55-3-latest.app.beta.mgx.dev</v>
      </c>
      <c r="N709" s="2" t="str">
        <f>=HYPERLINK("mailto:eval_75@auto.com", "eval_75@auto.com")</f>
        <v>eval_75@auto.com</v>
      </c>
      <c r="O709" t="inlineStr">
        <is>
          <t>29c14498b5a34193b5ed7cac1aa26d55</t>
        </is>
      </c>
    </row>
    <row r="710" ht="25.5" customHeight="1">
      <c r="A710" t="inlineStr">
        <is>
          <t>Personal Status Board</t>
        </is>
      </c>
      <c r="B710">
        <v>56</v>
      </c>
      <c r="C710" t="inlineStr">
        <is>
          <t>@陈佳杰</t>
        </is>
      </c>
      <c r="D710">
        <v>0</v>
      </c>
      <c r="E710" t="inlineStr">
        <is>
          <t>无数据</t>
        </is>
      </c>
      <c r="F710" t="inlineStr">
        <is>
          <t>@杨春玉</t>
        </is>
      </c>
      <c r="G710">
        <v>0</v>
      </c>
      <c r="H710" t="inlineStr">
        <is>
          <t>数据一直为0，图表未显示</t>
        </is>
      </c>
      <c r="I710">
        <v>7</v>
      </c>
      <c r="J710" t="inlineStr">
        <is>
          <t>Verify that statistical charts are present on the page</t>
        </is>
      </c>
      <c r="K710" t="inlineStr">
        <is>
          <t>验证页面上存在统计图表</t>
        </is>
      </c>
      <c r="L710" s="2" t="str">
        <f>=HYPERLINK("http://pre.mgx.dev/chat/29c14498b5a34193b5ed7cac1aa26d55", "http://pre.mgx.dev/chat/29c14498b5a34193b5ed7cac1aa26d55")</f>
        <v>http://pre.mgx.dev/chat/29c14498b5a34193b5ed7cac1aa26d55</v>
      </c>
      <c r="M710" s="2" t="str">
        <f>=HYPERLINK("", "https://45785-29c14498b5a34193b5ed7cac1aa26d55-3-latest.app.beta.mgx.dev")</f>
        <v>https://45785-29c14498b5a34193b5ed7cac1aa26d55-3-latest.app.beta.mgx.dev</v>
      </c>
      <c r="N710" s="2" t="str">
        <f>=HYPERLINK("mailto:eval_75@auto.com", "eval_75@auto.com")</f>
        <v>eval_75@auto.com</v>
      </c>
      <c r="O710" t="inlineStr">
        <is>
          <t>29c14498b5a34193b5ed7cac1aa26d55</t>
        </is>
      </c>
    </row>
    <row r="711" ht="25.5" customHeight="1">
      <c r="A711" t="inlineStr">
        <is>
          <t>Personal Status Board</t>
        </is>
      </c>
      <c r="B711">
        <v>56</v>
      </c>
      <c r="C711" t="inlineStr">
        <is>
          <t>@陈佳杰</t>
        </is>
      </c>
      <c r="D711">
        <v>0</v>
      </c>
      <c r="E711" t="inlineStr">
        <is>
          <t>无数据</t>
        </is>
      </c>
      <c r="F711" t="inlineStr">
        <is>
          <t>@杨春玉</t>
        </is>
      </c>
      <c r="G711">
        <v>0</v>
      </c>
      <c r="H711" t="inlineStr">
        <is>
          <t>数据一直为0，图表未显示</t>
        </is>
      </c>
      <c r="I711">
        <v>8</v>
      </c>
      <c r="J711" t="inlineStr">
        <is>
          <t>Check if charts correctly display trends for key data</t>
        </is>
      </c>
      <c r="K711" t="inlineStr">
        <is>
          <t>检查图表正确展示关键数据的趋势</t>
        </is>
      </c>
      <c r="L711" s="2" t="str">
        <f>=HYPERLINK("http://pre.mgx.dev/chat/29c14498b5a34193b5ed7cac1aa26d55", "http://pre.mgx.dev/chat/29c14498b5a34193b5ed7cac1aa26d55")</f>
        <v>http://pre.mgx.dev/chat/29c14498b5a34193b5ed7cac1aa26d55</v>
      </c>
      <c r="M711" s="2" t="str">
        <f>=HYPERLINK("", "https://45785-29c14498b5a34193b5ed7cac1aa26d55-3-latest.app.beta.mgx.dev")</f>
        <v>https://45785-29c14498b5a34193b5ed7cac1aa26d55-3-latest.app.beta.mgx.dev</v>
      </c>
      <c r="N711" s="2" t="str">
        <f>=HYPERLINK("mailto:eval_75@auto.com", "eval_75@auto.com")</f>
        <v>eval_75@auto.com</v>
      </c>
      <c r="O711" t="inlineStr">
        <is>
          <t>29c14498b5a34193b5ed7cac1aa26d55</t>
        </is>
      </c>
    </row>
    <row r="712" ht="25.5" customHeight="1">
      <c r="A712" t="inlineStr">
        <is>
          <t>Personal Status Board</t>
        </is>
      </c>
      <c r="B712">
        <v>56</v>
      </c>
      <c r="C712" t="inlineStr">
        <is>
          <t>@陈佳杰</t>
        </is>
      </c>
      <c r="D712">
        <v>0</v>
      </c>
      <c r="E712" t="inlineStr">
        <is>
          <t>没有此功能</t>
        </is>
      </c>
      <c r="F712" t="inlineStr">
        <is>
          <t>@杨春玉</t>
        </is>
      </c>
      <c r="G712">
        <v>1</v>
      </c>
      <c r="H712"/>
      <c r="I712">
        <v>9</v>
      </c>
      <c r="J712" t="inlineStr">
        <is>
          <t>Verify that the time filtering function is available on the page</t>
        </is>
      </c>
      <c r="K712" t="inlineStr">
        <is>
          <t>验证页面上提供时间筛选功能</t>
        </is>
      </c>
      <c r="L712" s="2" t="str">
        <f>=HYPERLINK("http://pre.mgx.dev/chat/29c14498b5a34193b5ed7cac1aa26d55", "http://pre.mgx.dev/chat/29c14498b5a34193b5ed7cac1aa26d55")</f>
        <v>http://pre.mgx.dev/chat/29c14498b5a34193b5ed7cac1aa26d55</v>
      </c>
      <c r="M712" s="2" t="str">
        <f>=HYPERLINK("", "https://45785-29c14498b5a34193b5ed7cac1aa26d55-3-latest.app.beta.mgx.dev")</f>
        <v>https://45785-29c14498b5a34193b5ed7cac1aa26d55-3-latest.app.beta.mgx.dev</v>
      </c>
      <c r="N712" s="2" t="str">
        <f>=HYPERLINK("mailto:eval_75@auto.com", "eval_75@auto.com")</f>
        <v>eval_75@auto.com</v>
      </c>
      <c r="O712" t="inlineStr">
        <is>
          <t>29c14498b5a34193b5ed7cac1aa26d55</t>
        </is>
      </c>
    </row>
    <row r="713" ht="25.5" customHeight="1">
      <c r="A713" t="inlineStr">
        <is>
          <t>Personal Status Board</t>
        </is>
      </c>
      <c r="B713">
        <v>56</v>
      </c>
      <c r="C713" t="inlineStr">
        <is>
          <t>@陈佳杰</t>
        </is>
      </c>
      <c r="D713">
        <v>0</v>
      </c>
      <c r="E713" t="inlineStr">
        <is>
          <t>无法交互</t>
        </is>
      </c>
      <c r="F713" t="inlineStr">
        <is>
          <t>@杨春玉</t>
        </is>
      </c>
      <c r="G713">
        <v>1</v>
      </c>
      <c r="H713"/>
      <c r="I713">
        <v>10</v>
      </c>
      <c r="J713" t="inlineStr">
        <is>
          <t>Test selecting different time ranges (e.g., last week, last month, custom range)</t>
        </is>
      </c>
      <c r="K713" t="inlineStr">
        <is>
          <t>测试选择不同的时间范围（如上周、上月、自定义范围）</t>
        </is>
      </c>
      <c r="L713" s="2" t="str">
        <f>=HYPERLINK("http://pre.mgx.dev/chat/29c14498b5a34193b5ed7cac1aa26d55", "http://pre.mgx.dev/chat/29c14498b5a34193b5ed7cac1aa26d55")</f>
        <v>http://pre.mgx.dev/chat/29c14498b5a34193b5ed7cac1aa26d55</v>
      </c>
      <c r="M713" s="2" t="str">
        <f>=HYPERLINK("", "https://45785-29c14498b5a34193b5ed7cac1aa26d55-3-latest.app.beta.mgx.dev")</f>
        <v>https://45785-29c14498b5a34193b5ed7cac1aa26d55-3-latest.app.beta.mgx.dev</v>
      </c>
      <c r="N713" s="2" t="str">
        <f>=HYPERLINK("mailto:eval_75@auto.com", "eval_75@auto.com")</f>
        <v>eval_75@auto.com</v>
      </c>
      <c r="O713" t="inlineStr">
        <is>
          <t>29c14498b5a34193b5ed7cac1aa26d55</t>
        </is>
      </c>
    </row>
    <row r="714" ht="25.5" customHeight="1">
      <c r="A714" t="inlineStr">
        <is>
          <t>Personal Status Board</t>
        </is>
      </c>
      <c r="B714">
        <v>56</v>
      </c>
      <c r="C714" t="inlineStr">
        <is>
          <t>@陈佳杰</t>
        </is>
      </c>
      <c r="D714">
        <v>0</v>
      </c>
      <c r="E714" t="inlineStr">
        <is>
          <t>没有此功能</t>
        </is>
      </c>
      <c r="F714" t="inlineStr">
        <is>
          <t>@杨春玉</t>
        </is>
      </c>
      <c r="G714">
        <v>0</v>
      </c>
      <c r="H714" t="inlineStr">
        <is>
          <t>数据一直为0</t>
        </is>
      </c>
      <c r="I714">
        <v>11</v>
      </c>
      <c r="J714" t="inlineStr">
        <is>
          <t>Confirm that data displayed in cards, progress bars, and charts updates correctly when time range is changed</t>
        </is>
      </c>
      <c r="K714" t="inlineStr">
        <is>
          <t>确认选择时间范围后，卡片、进度条和图表中的数据同步更新</t>
        </is>
      </c>
      <c r="L714" s="2" t="str">
        <f>=HYPERLINK("http://pre.mgx.dev/chat/29c14498b5a34193b5ed7cac1aa26d55", "http://pre.mgx.dev/chat/29c14498b5a34193b5ed7cac1aa26d55")</f>
        <v>http://pre.mgx.dev/chat/29c14498b5a34193b5ed7cac1aa26d55</v>
      </c>
      <c r="M714" s="2" t="str">
        <f>=HYPERLINK("", "https://45785-29c14498b5a34193b5ed7cac1aa26d55-3-latest.app.beta.mgx.dev")</f>
        <v>https://45785-29c14498b5a34193b5ed7cac1aa26d55-3-latest.app.beta.mgx.dev</v>
      </c>
      <c r="N714" s="2" t="str">
        <f>=HYPERLINK("mailto:eval_75@auto.com", "eval_75@auto.com")</f>
        <v>eval_75@auto.com</v>
      </c>
      <c r="O714" t="inlineStr">
        <is>
          <t>29c14498b5a34193b5ed7cac1aa26d55</t>
        </is>
      </c>
    </row>
    <row r="715" ht="25.5" customHeight="1">
      <c r="A715" t="inlineStr">
        <is>
          <t>Personal Status Board</t>
        </is>
      </c>
      <c r="B715">
        <v>56</v>
      </c>
      <c r="C715" t="inlineStr">
        <is>
          <t>@陈佳杰</t>
        </is>
      </c>
      <c r="D715">
        <v>0</v>
      </c>
      <c r="E715" t="inlineStr">
        <is>
          <t>没有此功能</t>
        </is>
      </c>
      <c r="F715" t="inlineStr">
        <is>
          <t>@杨春玉</t>
        </is>
      </c>
      <c r="G715">
        <v>1</v>
      </c>
      <c r="H715"/>
      <c r="I715">
        <v>12</v>
      </c>
      <c r="J715" t="inlineStr">
        <is>
          <t>Check if an overview of goal completion is provided on the page</t>
        </is>
      </c>
      <c r="K715" t="inlineStr">
        <is>
          <t>检查页面上提供目标完成情况概述</t>
        </is>
      </c>
      <c r="L715" s="2" t="str">
        <f>=HYPERLINK("http://pre.mgx.dev/chat/29c14498b5a34193b5ed7cac1aa26d55", "http://pre.mgx.dev/chat/29c14498b5a34193b5ed7cac1aa26d55")</f>
        <v>http://pre.mgx.dev/chat/29c14498b5a34193b5ed7cac1aa26d55</v>
      </c>
      <c r="M715" s="2" t="str">
        <f>=HYPERLINK("", "https://45785-29c14498b5a34193b5ed7cac1aa26d55-3-latest.app.beta.mgx.dev")</f>
        <v>https://45785-29c14498b5a34193b5ed7cac1aa26d55-3-latest.app.beta.mgx.dev</v>
      </c>
      <c r="N715" s="2" t="str">
        <f>=HYPERLINK("mailto:eval_75@auto.com", "eval_75@auto.com")</f>
        <v>eval_75@auto.com</v>
      </c>
      <c r="O715" t="inlineStr">
        <is>
          <t>29c14498b5a34193b5ed7cac1aa26d55</t>
        </is>
      </c>
    </row>
    <row r="716" ht="25.5" customHeight="1">
      <c r="A716" t="inlineStr">
        <is>
          <t>Personal Status Board</t>
        </is>
      </c>
      <c r="B716">
        <v>56</v>
      </c>
      <c r="C716" t="inlineStr">
        <is>
          <t>@陈佳杰</t>
        </is>
      </c>
      <c r="D716">
        <v>1</v>
      </c>
      <c r="E716"/>
      <c r="F716" t="inlineStr">
        <is>
          <t>@杨春玉</t>
        </is>
      </c>
      <c r="G716">
        <v>1</v>
      </c>
      <c r="H716"/>
      <c r="I716">
        <v>13</v>
      </c>
      <c r="J716" t="inlineStr">
        <is>
          <t>Verify that the data export function is available on the page</t>
        </is>
      </c>
      <c r="K716" t="inlineStr">
        <is>
          <t>验证页面上提供数据导出功能</t>
        </is>
      </c>
      <c r="L716" s="2" t="str">
        <f>=HYPERLINK("http://pre.mgx.dev/chat/29c14498b5a34193b5ed7cac1aa26d55", "http://pre.mgx.dev/chat/29c14498b5a34193b5ed7cac1aa26d55")</f>
        <v>http://pre.mgx.dev/chat/29c14498b5a34193b5ed7cac1aa26d55</v>
      </c>
      <c r="M716" s="2" t="str">
        <f>=HYPERLINK("", "https://45785-29c14498b5a34193b5ed7cac1aa26d55-3-latest.app.beta.mgx.dev")</f>
        <v>https://45785-29c14498b5a34193b5ed7cac1aa26d55-3-latest.app.beta.mgx.dev</v>
      </c>
      <c r="N716" s="2" t="str">
        <f>=HYPERLINK("mailto:eval_75@auto.com", "eval_75@auto.com")</f>
        <v>eval_75@auto.com</v>
      </c>
      <c r="O716" t="inlineStr">
        <is>
          <t>29c14498b5a34193b5ed7cac1aa26d55</t>
        </is>
      </c>
    </row>
    <row r="717" ht="25.5" customHeight="1">
      <c r="A717" t="inlineStr">
        <is>
          <t>Personal Status Board</t>
        </is>
      </c>
      <c r="B717">
        <v>56</v>
      </c>
      <c r="C717" t="inlineStr">
        <is>
          <t>@陈佳杰</t>
        </is>
      </c>
      <c r="D717">
        <v>1</v>
      </c>
      <c r="E717"/>
      <c r="F717" t="inlineStr">
        <is>
          <t>@杨春玉</t>
        </is>
      </c>
      <c r="G717">
        <v>1</v>
      </c>
      <c r="H717"/>
      <c r="I717">
        <v>14</v>
      </c>
      <c r="J717" t="inlineStr">
        <is>
          <t>Test exporting data as Excel format and confirm the downloaded file opens correctly</t>
        </is>
      </c>
      <c r="K717" t="inlineStr">
        <is>
          <t>测试以Excel格式导出数据并确认下载的文件可正常打开</t>
        </is>
      </c>
      <c r="L717" s="2" t="str">
        <f>=HYPERLINK("http://pre.mgx.dev/chat/29c14498b5a34193b5ed7cac1aa26d55", "http://pre.mgx.dev/chat/29c14498b5a34193b5ed7cac1aa26d55")</f>
        <v>http://pre.mgx.dev/chat/29c14498b5a34193b5ed7cac1aa26d55</v>
      </c>
      <c r="M717" s="2" t="str">
        <f>=HYPERLINK("", "https://45785-29c14498b5a34193b5ed7cac1aa26d55-3-latest.app.beta.mgx.dev")</f>
        <v>https://45785-29c14498b5a34193b5ed7cac1aa26d55-3-latest.app.beta.mgx.dev</v>
      </c>
      <c r="N717" s="2" t="str">
        <f>=HYPERLINK("mailto:eval_75@auto.com", "eval_75@auto.com")</f>
        <v>eval_75@auto.com</v>
      </c>
      <c r="O717" t="inlineStr">
        <is>
          <t>29c14498b5a34193b5ed7cac1aa26d55</t>
        </is>
      </c>
    </row>
    <row r="718" ht="25.5" customHeight="1">
      <c r="A718" t="inlineStr">
        <is>
          <t>Digital Name Card</t>
        </is>
      </c>
      <c r="B718">
        <v>57</v>
      </c>
      <c r="C718" t="inlineStr">
        <is>
          <t>@杨春玉</t>
        </is>
      </c>
      <c r="D718">
        <v>1</v>
      </c>
      <c r="E718"/>
      <c r="F718" t="inlineStr">
        <is>
          <t>@陈佳杰</t>
        </is>
      </c>
      <c r="G718">
        <v>1</v>
      </c>
      <c r="H718"/>
      <c r="I718">
        <v>1</v>
      </c>
      <c r="J718" t="inlineStr">
        <is>
          <t>Test if the basic information module is displayed on the webpage</t>
        </is>
      </c>
      <c r="K718" t="inlineStr">
        <is>
          <t>测试网页上展示基础信息模块</t>
        </is>
      </c>
      <c r="L718" s="2" t="str">
        <f>=HYPERLINK("http://pre.mgx.dev/chat/0ba946f4a9a046ca90476efe31d581f7", "http://pre.mgx.dev/chat/0ba946f4a9a046ca90476efe31d581f7")</f>
        <v>http://pre.mgx.dev/chat/0ba946f4a9a046ca90476efe31d581f7</v>
      </c>
      <c r="M718" s="2" t="str">
        <f>=HYPERLINK("", "https://45783-0ba946f4a9a046ca90476efe31d581f7-3-latest.app.beta.mgx.dev")</f>
        <v>https://45783-0ba946f4a9a046ca90476efe31d581f7-3-latest.app.beta.mgx.dev</v>
      </c>
      <c r="N718" s="2" t="str">
        <f>=HYPERLINK("mailto:eval_73@auto.com", "eval_73@auto.com")</f>
        <v>eval_73@auto.com</v>
      </c>
      <c r="O718" t="inlineStr">
        <is>
          <t>0ba946f4a9a046ca90476efe31d581f7</t>
        </is>
      </c>
    </row>
    <row r="719" ht="25.5" customHeight="1">
      <c r="A719" t="inlineStr">
        <is>
          <t>Digital Name Card</t>
        </is>
      </c>
      <c r="B719">
        <v>57</v>
      </c>
      <c r="C719" t="inlineStr">
        <is>
          <t>@杨春玉</t>
        </is>
      </c>
      <c r="D719">
        <v>1</v>
      </c>
      <c r="E719"/>
      <c r="F719" t="inlineStr">
        <is>
          <t>@陈佳杰</t>
        </is>
      </c>
      <c r="G719">
        <v>1</v>
      </c>
      <c r="H719"/>
      <c r="I719">
        <v>2</v>
      </c>
      <c r="J719" t="inlineStr">
        <is>
          <t>Verify if the name is correctly displayed in the basic information module</t>
        </is>
      </c>
      <c r="K719" t="inlineStr">
        <is>
          <t>验证基础信息模块中姓名正确展示</t>
        </is>
      </c>
      <c r="L719" s="2" t="str">
        <f>=HYPERLINK("http://pre.mgx.dev/chat/0ba946f4a9a046ca90476efe31d581f7", "http://pre.mgx.dev/chat/0ba946f4a9a046ca90476efe31d581f7")</f>
        <v>http://pre.mgx.dev/chat/0ba946f4a9a046ca90476efe31d581f7</v>
      </c>
      <c r="M719" s="2" t="str">
        <f>=HYPERLINK("", "https://45783-0ba946f4a9a046ca90476efe31d581f7-3-latest.app.beta.mgx.dev")</f>
        <v>https://45783-0ba946f4a9a046ca90476efe31d581f7-3-latest.app.beta.mgx.dev</v>
      </c>
      <c r="N719" s="2" t="str">
        <f>=HYPERLINK("mailto:eval_73@auto.com", "eval_73@auto.com")</f>
        <v>eval_73@auto.com</v>
      </c>
      <c r="O719" t="inlineStr">
        <is>
          <t>0ba946f4a9a046ca90476efe31d581f7</t>
        </is>
      </c>
    </row>
    <row r="720" ht="25.5" customHeight="1">
      <c r="A720" t="inlineStr">
        <is>
          <t>Digital Name Card</t>
        </is>
      </c>
      <c r="B720">
        <v>57</v>
      </c>
      <c r="C720" t="inlineStr">
        <is>
          <t>@杨春玉</t>
        </is>
      </c>
      <c r="D720">
        <v>1</v>
      </c>
      <c r="E720"/>
      <c r="F720" t="inlineStr">
        <is>
          <t>@陈佳杰</t>
        </is>
      </c>
      <c r="G720">
        <v>1</v>
      </c>
      <c r="H720"/>
      <c r="I720">
        <v>3</v>
      </c>
      <c r="J720" t="inlineStr">
        <is>
          <t>Check if the position is accurately shown in the basic information module</t>
        </is>
      </c>
      <c r="K720" t="inlineStr">
        <is>
          <t>检查基础信息模块中职位准确展示</t>
        </is>
      </c>
      <c r="L720" s="2" t="str">
        <f>=HYPERLINK("http://pre.mgx.dev/chat/0ba946f4a9a046ca90476efe31d581f7", "http://pre.mgx.dev/chat/0ba946f4a9a046ca90476efe31d581f7")</f>
        <v>http://pre.mgx.dev/chat/0ba946f4a9a046ca90476efe31d581f7</v>
      </c>
      <c r="M720" s="2" t="str">
        <f>=HYPERLINK("", "https://45783-0ba946f4a9a046ca90476efe31d581f7-3-latest.app.beta.mgx.dev")</f>
        <v>https://45783-0ba946f4a9a046ca90476efe31d581f7-3-latest.app.beta.mgx.dev</v>
      </c>
      <c r="N720" s="2" t="str">
        <f>=HYPERLINK("mailto:eval_73@auto.com", "eval_73@auto.com")</f>
        <v>eval_73@auto.com</v>
      </c>
      <c r="O720" t="inlineStr">
        <is>
          <t>0ba946f4a9a046ca90476efe31d581f7</t>
        </is>
      </c>
    </row>
    <row r="721" ht="25.5" customHeight="1">
      <c r="A721" t="inlineStr">
        <is>
          <t>Digital Name Card</t>
        </is>
      </c>
      <c r="B721">
        <v>57</v>
      </c>
      <c r="C721" t="inlineStr">
        <is>
          <t>@杨春玉</t>
        </is>
      </c>
      <c r="D721">
        <v>1</v>
      </c>
      <c r="E721"/>
      <c r="F721" t="inlineStr">
        <is>
          <t>@陈佳杰</t>
        </is>
      </c>
      <c r="G721">
        <v>1</v>
      </c>
      <c r="H721"/>
      <c r="I721">
        <v>4</v>
      </c>
      <c r="J721" t="inlineStr">
        <is>
          <t>Ensure contact details are properly presented in the basic information module</t>
        </is>
      </c>
      <c r="K721" t="inlineStr">
        <is>
          <t>确保基础信息模块中联系方式展示规范</t>
        </is>
      </c>
      <c r="L721" s="2" t="str">
        <f>=HYPERLINK("http://pre.mgx.dev/chat/0ba946f4a9a046ca90476efe31d581f7", "http://pre.mgx.dev/chat/0ba946f4a9a046ca90476efe31d581f7")</f>
        <v>http://pre.mgx.dev/chat/0ba946f4a9a046ca90476efe31d581f7</v>
      </c>
      <c r="M721" s="2" t="str">
        <f>=HYPERLINK("", "https://45783-0ba946f4a9a046ca90476efe31d581f7-3-latest.app.beta.mgx.dev")</f>
        <v>https://45783-0ba946f4a9a046ca90476efe31d581f7-3-latest.app.beta.mgx.dev</v>
      </c>
      <c r="N721" s="2" t="str">
        <f>=HYPERLINK("mailto:eval_73@auto.com", "eval_73@auto.com")</f>
        <v>eval_73@auto.com</v>
      </c>
      <c r="O721" t="inlineStr">
        <is>
          <t>0ba946f4a9a046ca90476efe31d581f7</t>
        </is>
      </c>
    </row>
    <row r="722" ht="25.5" customHeight="1">
      <c r="A722" t="inlineStr">
        <is>
          <t>Digital Name Card</t>
        </is>
      </c>
      <c r="B722">
        <v>57</v>
      </c>
      <c r="C722" t="inlineStr">
        <is>
          <t>@杨春玉</t>
        </is>
      </c>
      <c r="D722">
        <v>1</v>
      </c>
      <c r="E722"/>
      <c r="F722" t="inlineStr">
        <is>
          <t>@陈佳杰</t>
        </is>
      </c>
      <c r="G722">
        <v>1</v>
      </c>
      <c r="H722"/>
      <c r="I722">
        <v>5</v>
      </c>
      <c r="J722" t="inlineStr">
        <is>
          <t>Verify the presence of a vCard download button or link</t>
        </is>
      </c>
      <c r="K722" t="inlineStr">
        <is>
          <t>验证存在电子名片下载按钮或链接</t>
        </is>
      </c>
      <c r="L722" s="2" t="str">
        <f>=HYPERLINK("http://pre.mgx.dev/chat/0ba946f4a9a046ca90476efe31d581f7", "http://pre.mgx.dev/chat/0ba946f4a9a046ca90476efe31d581f7")</f>
        <v>http://pre.mgx.dev/chat/0ba946f4a9a046ca90476efe31d581f7</v>
      </c>
      <c r="M722" s="2" t="str">
        <f>=HYPERLINK("", "https://45783-0ba946f4a9a046ca90476efe31d581f7-3-latest.app.beta.mgx.dev")</f>
        <v>https://45783-0ba946f4a9a046ca90476efe31d581f7-3-latest.app.beta.mgx.dev</v>
      </c>
      <c r="N722" s="2" t="str">
        <f>=HYPERLINK("mailto:eval_73@auto.com", "eval_73@auto.com")</f>
        <v>eval_73@auto.com</v>
      </c>
      <c r="O722" t="inlineStr">
        <is>
          <t>0ba946f4a9a046ca90476efe31d581f7</t>
        </is>
      </c>
    </row>
    <row r="723" ht="25.5" customHeight="1">
      <c r="A723" t="inlineStr">
        <is>
          <t>Digital Name Card</t>
        </is>
      </c>
      <c r="B723">
        <v>57</v>
      </c>
      <c r="C723" t="inlineStr">
        <is>
          <t>@杨春玉</t>
        </is>
      </c>
      <c r="D723">
        <v>1</v>
      </c>
      <c r="E723"/>
      <c r="F723" t="inlineStr">
        <is>
          <t>@陈佳杰</t>
        </is>
      </c>
      <c r="G723">
        <v>1</v>
      </c>
      <c r="H723"/>
      <c r="I723">
        <v>6</v>
      </c>
      <c r="J723" t="inlineStr">
        <is>
          <t>Test if clicking the vCard download button initiates a file download</t>
        </is>
      </c>
      <c r="K723" t="inlineStr">
        <is>
          <t>测试点击电子名片下载按钮可触发文件下载</t>
        </is>
      </c>
      <c r="L723" s="2" t="str">
        <f>=HYPERLINK("http://pre.mgx.dev/chat/0ba946f4a9a046ca90476efe31d581f7", "http://pre.mgx.dev/chat/0ba946f4a9a046ca90476efe31d581f7")</f>
        <v>http://pre.mgx.dev/chat/0ba946f4a9a046ca90476efe31d581f7</v>
      </c>
      <c r="M723" s="2" t="str">
        <f>=HYPERLINK("", "https://45783-0ba946f4a9a046ca90476efe31d581f7-3-latest.app.beta.mgx.dev")</f>
        <v>https://45783-0ba946f4a9a046ca90476efe31d581f7-3-latest.app.beta.mgx.dev</v>
      </c>
      <c r="N723" s="2" t="str">
        <f>=HYPERLINK("mailto:eval_73@auto.com", "eval_73@auto.com")</f>
        <v>eval_73@auto.com</v>
      </c>
      <c r="O723" t="inlineStr">
        <is>
          <t>0ba946f4a9a046ca90476efe31d581f7</t>
        </is>
      </c>
    </row>
    <row r="724" ht="25.5" customHeight="1">
      <c r="A724" t="inlineStr">
        <is>
          <t>Digital Name Card</t>
        </is>
      </c>
      <c r="B724">
        <v>57</v>
      </c>
      <c r="C724" t="inlineStr">
        <is>
          <t>@杨春玉</t>
        </is>
      </c>
      <c r="D724">
        <v>1</v>
      </c>
      <c r="E724"/>
      <c r="F724" t="inlineStr">
        <is>
          <t>@陈佳杰</t>
        </is>
      </c>
      <c r="G724">
        <v>1</v>
      </c>
      <c r="H724"/>
      <c r="I724">
        <v>7</v>
      </c>
      <c r="J724" t="inlineStr">
        <is>
          <t>Check if the social media links module is visible on the page</t>
        </is>
      </c>
      <c r="K724" t="inlineStr">
        <is>
          <t>检查页面上可见社交媒体链接模块</t>
        </is>
      </c>
      <c r="L724" s="2" t="str">
        <f>=HYPERLINK("http://pre.mgx.dev/chat/0ba946f4a9a046ca90476efe31d581f7", "http://pre.mgx.dev/chat/0ba946f4a9a046ca90476efe31d581f7")</f>
        <v>http://pre.mgx.dev/chat/0ba946f4a9a046ca90476efe31d581f7</v>
      </c>
      <c r="M724" s="2" t="str">
        <f>=HYPERLINK("", "https://45783-0ba946f4a9a046ca90476efe31d581f7-3-latest.app.beta.mgx.dev")</f>
        <v>https://45783-0ba946f4a9a046ca90476efe31d581f7-3-latest.app.beta.mgx.dev</v>
      </c>
      <c r="N724" s="2" t="str">
        <f>=HYPERLINK("mailto:eval_73@auto.com", "eval_73@auto.com")</f>
        <v>eval_73@auto.com</v>
      </c>
      <c r="O724" t="inlineStr">
        <is>
          <t>0ba946f4a9a046ca90476efe31d581f7</t>
        </is>
      </c>
    </row>
    <row r="725" ht="25.5" customHeight="1">
      <c r="A725" t="inlineStr">
        <is>
          <t>Digital Name Card</t>
        </is>
      </c>
      <c r="B725">
        <v>57</v>
      </c>
      <c r="C725" t="inlineStr">
        <is>
          <t>@杨春玉</t>
        </is>
      </c>
      <c r="D725">
        <v>1</v>
      </c>
      <c r="E725"/>
      <c r="F725" t="inlineStr">
        <is>
          <t>@陈佳杰</t>
        </is>
      </c>
      <c r="G725">
        <v>1</v>
      </c>
      <c r="H725"/>
      <c r="I725">
        <v>8</v>
      </c>
      <c r="J725" t="inlineStr">
        <is>
          <t>Verify the presence of a LinkedIn link in the social media module</t>
        </is>
      </c>
      <c r="K725" t="inlineStr">
        <is>
          <t>验证社交媒体模块中存在领英链接</t>
        </is>
      </c>
      <c r="L725" s="2" t="str">
        <f>=HYPERLINK("http://pre.mgx.dev/chat/0ba946f4a9a046ca90476efe31d581f7", "http://pre.mgx.dev/chat/0ba946f4a9a046ca90476efe31d581f7")</f>
        <v>http://pre.mgx.dev/chat/0ba946f4a9a046ca90476efe31d581f7</v>
      </c>
      <c r="M725" s="2" t="str">
        <f>=HYPERLINK("", "https://45783-0ba946f4a9a046ca90476efe31d581f7-3-latest.app.beta.mgx.dev")</f>
        <v>https://45783-0ba946f4a9a046ca90476efe31d581f7-3-latest.app.beta.mgx.dev</v>
      </c>
      <c r="N725" s="2" t="str">
        <f>=HYPERLINK("mailto:eval_73@auto.com", "eval_73@auto.com")</f>
        <v>eval_73@auto.com</v>
      </c>
      <c r="O725" t="inlineStr">
        <is>
          <t>0ba946f4a9a046ca90476efe31d581f7</t>
        </is>
      </c>
    </row>
    <row r="726" ht="25.5" customHeight="1">
      <c r="A726" t="inlineStr">
        <is>
          <t>Digital Name Card</t>
        </is>
      </c>
      <c r="B726">
        <v>57</v>
      </c>
      <c r="C726" t="inlineStr">
        <is>
          <t>@杨春玉</t>
        </is>
      </c>
      <c r="D726">
        <v>0</v>
      </c>
      <c r="E726" t="inlineStr">
        <is>
          <t>没有显示GitHub链接</t>
        </is>
      </c>
      <c r="F726" t="inlineStr">
        <is>
          <t>@陈佳杰</t>
        </is>
      </c>
      <c r="G726">
        <v>0</v>
      </c>
      <c r="H726" t="inlineStr">
        <is>
          <t>没有显示GitHub链接</t>
        </is>
      </c>
      <c r="I726">
        <v>9</v>
      </c>
      <c r="J726" t="inlineStr">
        <is>
          <t>Ensure the GitHub link is displayed in the social media module</t>
        </is>
      </c>
      <c r="K726" t="inlineStr">
        <is>
          <t>确保社交媒体模块中展示GitHub链接</t>
        </is>
      </c>
      <c r="L726" s="2" t="str">
        <f>=HYPERLINK("http://pre.mgx.dev/chat/0ba946f4a9a046ca90476efe31d581f7", "http://pre.mgx.dev/chat/0ba946f4a9a046ca90476efe31d581f7")</f>
        <v>http://pre.mgx.dev/chat/0ba946f4a9a046ca90476efe31d581f7</v>
      </c>
      <c r="M726" s="2" t="str">
        <f>=HYPERLINK("", "https://45783-0ba946f4a9a046ca90476efe31d581f7-3-latest.app.beta.mgx.dev")</f>
        <v>https://45783-0ba946f4a9a046ca90476efe31d581f7-3-latest.app.beta.mgx.dev</v>
      </c>
      <c r="N726" s="2" t="str">
        <f>=HYPERLINK("mailto:eval_73@auto.com", "eval_73@auto.com")</f>
        <v>eval_73@auto.com</v>
      </c>
      <c r="O726" t="inlineStr">
        <is>
          <t>0ba946f4a9a046ca90476efe31d581f7</t>
        </is>
      </c>
    </row>
    <row r="727" ht="25.5" customHeight="1">
      <c r="A727" t="inlineStr">
        <is>
          <t>Digital Name Card</t>
        </is>
      </c>
      <c r="B727">
        <v>57</v>
      </c>
      <c r="C727" t="inlineStr">
        <is>
          <t>@杨春玉</t>
        </is>
      </c>
      <c r="D727">
        <v>1</v>
      </c>
      <c r="E727"/>
      <c r="F727" t="inlineStr">
        <is>
          <t>@陈佳杰</t>
        </is>
      </c>
      <c r="G727">
        <v>1</v>
      </c>
      <c r="H727"/>
      <c r="I727">
        <v>10</v>
      </c>
      <c r="J727" t="inlineStr">
        <is>
          <t>Confirm the presence of a QR code on the digital business card page</t>
        </is>
      </c>
      <c r="K727" t="inlineStr">
        <is>
          <t>确认电子名片页面上存在二维码</t>
        </is>
      </c>
      <c r="L727" s="2" t="str">
        <f>=HYPERLINK("http://pre.mgx.dev/chat/0ba946f4a9a046ca90476efe31d581f7", "http://pre.mgx.dev/chat/0ba946f4a9a046ca90476efe31d581f7")</f>
        <v>http://pre.mgx.dev/chat/0ba946f4a9a046ca90476efe31d581f7</v>
      </c>
      <c r="M727" s="2" t="str">
        <f>=HYPERLINK("", "https://45783-0ba946f4a9a046ca90476efe31d581f7-3-latest.app.beta.mgx.dev")</f>
        <v>https://45783-0ba946f4a9a046ca90476efe31d581f7-3-latest.app.beta.mgx.dev</v>
      </c>
      <c r="N727" s="2" t="str">
        <f>=HYPERLINK("mailto:eval_73@auto.com", "eval_73@auto.com")</f>
        <v>eval_73@auto.com</v>
      </c>
      <c r="O727" t="inlineStr">
        <is>
          <t>0ba946f4a9a046ca90476efe31d581f7</t>
        </is>
      </c>
    </row>
    <row r="728" ht="25.5" customHeight="1">
      <c r="A728" t="inlineStr">
        <is>
          <t>Digital Name Card</t>
        </is>
      </c>
      <c r="B728">
        <v>57</v>
      </c>
      <c r="C728" t="inlineStr">
        <is>
          <t>@杨春玉</t>
        </is>
      </c>
      <c r="D728">
        <v>1</v>
      </c>
      <c r="E728"/>
      <c r="F728" t="inlineStr">
        <is>
          <t>@陈佳杰</t>
        </is>
      </c>
      <c r="G728">
        <v>0</v>
      </c>
      <c r="H728" t="inlineStr">
        <is>
          <t>扫描结果：“a”</t>
        </is>
      </c>
      <c r="I728">
        <v>11</v>
      </c>
      <c r="J728" t="inlineStr">
        <is>
          <t>Verify that scanning the QR code leads to the correct digital business card page</t>
        </is>
      </c>
      <c r="K728" t="inlineStr">
        <is>
          <t>验证扫描二维码可跳转至正确的电子名片页面</t>
        </is>
      </c>
      <c r="L728" s="2" t="str">
        <f>=HYPERLINK("http://pre.mgx.dev/chat/0ba946f4a9a046ca90476efe31d581f7", "http://pre.mgx.dev/chat/0ba946f4a9a046ca90476efe31d581f7")</f>
        <v>http://pre.mgx.dev/chat/0ba946f4a9a046ca90476efe31d581f7</v>
      </c>
      <c r="M728" s="2" t="str">
        <f>=HYPERLINK("", "https://45783-0ba946f4a9a046ca90476efe31d581f7-3-latest.app.beta.mgx.dev")</f>
        <v>https://45783-0ba946f4a9a046ca90476efe31d581f7-3-latest.app.beta.mgx.dev</v>
      </c>
      <c r="N728" s="2" t="str">
        <f>=HYPERLINK("mailto:eval_73@auto.com", "eval_73@auto.com")</f>
        <v>eval_73@auto.com</v>
      </c>
      <c r="O728" t="inlineStr">
        <is>
          <t>0ba946f4a9a046ca90476efe31d581f7</t>
        </is>
      </c>
    </row>
    <row r="729" ht="25.5" customHeight="1">
      <c r="A729" t="inlineStr">
        <is>
          <t>Digital Name Card</t>
        </is>
      </c>
      <c r="B729">
        <v>57</v>
      </c>
      <c r="C729" t="inlineStr">
        <is>
          <t>@杨春玉</t>
        </is>
      </c>
      <c r="D729">
        <v>1</v>
      </c>
      <c r="E729"/>
      <c r="F729" t="inlineStr">
        <is>
          <t>@陈佳杰</t>
        </is>
      </c>
      <c r="G729">
        <v>1</v>
      </c>
      <c r="H729"/>
      <c r="I729">
        <v>12</v>
      </c>
      <c r="J729" t="inlineStr">
        <is>
          <t>Check if the personal profile section is visible on the page</t>
        </is>
      </c>
      <c r="K729" t="inlineStr">
        <is>
          <t>检查页面上可见个人简介板块</t>
        </is>
      </c>
      <c r="L729" s="2" t="str">
        <f>=HYPERLINK("http://pre.mgx.dev/chat/0ba946f4a9a046ca90476efe31d581f7", "http://pre.mgx.dev/chat/0ba946f4a9a046ca90476efe31d581f7")</f>
        <v>http://pre.mgx.dev/chat/0ba946f4a9a046ca90476efe31d581f7</v>
      </c>
      <c r="M729" s="2" t="str">
        <f>=HYPERLINK("", "https://45783-0ba946f4a9a046ca90476efe31d581f7-3-latest.app.beta.mgx.dev")</f>
        <v>https://45783-0ba946f4a9a046ca90476efe31d581f7-3-latest.app.beta.mgx.dev</v>
      </c>
      <c r="N729" s="2" t="str">
        <f>=HYPERLINK("mailto:eval_73@auto.com", "eval_73@auto.com")</f>
        <v>eval_73@auto.com</v>
      </c>
      <c r="O729" t="inlineStr">
        <is>
          <t>0ba946f4a9a046ca90476efe31d581f7</t>
        </is>
      </c>
    </row>
    <row r="730" ht="25.5" customHeight="1">
      <c r="A730" t="inlineStr">
        <is>
          <t>Digital Name Card</t>
        </is>
      </c>
      <c r="B730">
        <v>57</v>
      </c>
      <c r="C730" t="inlineStr">
        <is>
          <t>@杨春玉</t>
        </is>
      </c>
      <c r="D730">
        <v>1</v>
      </c>
      <c r="E730"/>
      <c r="F730" t="inlineStr">
        <is>
          <t>@陈佳杰</t>
        </is>
      </c>
      <c r="G730">
        <v>1</v>
      </c>
      <c r="H730"/>
      <c r="I730">
        <v>13</v>
      </c>
      <c r="J730" t="inlineStr">
        <is>
          <t>Verify that the personal introduction text is correctly displayed</t>
        </is>
      </c>
      <c r="K730" t="inlineStr">
        <is>
          <t>验证个人介绍文本正确展示</t>
        </is>
      </c>
      <c r="L730" s="2" t="str">
        <f>=HYPERLINK("http://pre.mgx.dev/chat/0ba946f4a9a046ca90476efe31d581f7", "http://pre.mgx.dev/chat/0ba946f4a9a046ca90476efe31d581f7")</f>
        <v>http://pre.mgx.dev/chat/0ba946f4a9a046ca90476efe31d581f7</v>
      </c>
      <c r="M730" s="2" t="str">
        <f>=HYPERLINK("", "https://45783-0ba946f4a9a046ca90476efe31d581f7-3-latest.app.beta.mgx.dev")</f>
        <v>https://45783-0ba946f4a9a046ca90476efe31d581f7-3-latest.app.beta.mgx.dev</v>
      </c>
      <c r="N730" s="2" t="str">
        <f>=HYPERLINK("mailto:eval_73@auto.com", "eval_73@auto.com")</f>
        <v>eval_73@auto.com</v>
      </c>
      <c r="O730" t="inlineStr">
        <is>
          <t>0ba946f4a9a046ca90476efe31d581f7</t>
        </is>
      </c>
    </row>
    <row r="731" ht="25.5" customHeight="1">
      <c r="A731" t="inlineStr">
        <is>
          <t>Digital Name Card</t>
        </is>
      </c>
      <c r="B731">
        <v>57</v>
      </c>
      <c r="C731" t="inlineStr">
        <is>
          <t>@杨春玉</t>
        </is>
      </c>
      <c r="D731">
        <v>1</v>
      </c>
      <c r="E731"/>
      <c r="F731" t="inlineStr">
        <is>
          <t>@陈佳杰</t>
        </is>
      </c>
      <c r="G731">
        <v>1</v>
      </c>
      <c r="H731"/>
      <c r="I731">
        <v>14</v>
      </c>
      <c r="J731" t="inlineStr">
        <is>
          <t>Ensure the avatar image is properly loaded and displayed on the page</t>
        </is>
      </c>
      <c r="K731" t="inlineStr">
        <is>
          <t>确保头像图片正常加载并展示在页面上</t>
        </is>
      </c>
      <c r="L731" s="2" t="str">
        <f>=HYPERLINK("http://pre.mgx.dev/chat/0ba946f4a9a046ca90476efe31d581f7", "http://pre.mgx.dev/chat/0ba946f4a9a046ca90476efe31d581f7")</f>
        <v>http://pre.mgx.dev/chat/0ba946f4a9a046ca90476efe31d581f7</v>
      </c>
      <c r="M731" s="2" t="str">
        <f>=HYPERLINK("", "https://45783-0ba946f4a9a046ca90476efe31d581f7-3-latest.app.beta.mgx.dev")</f>
        <v>https://45783-0ba946f4a9a046ca90476efe31d581f7-3-latest.app.beta.mgx.dev</v>
      </c>
      <c r="N731" s="2" t="str">
        <f>=HYPERLINK("mailto:eval_73@auto.com", "eval_73@auto.com")</f>
        <v>eval_73@auto.com</v>
      </c>
      <c r="O731" t="inlineStr">
        <is>
          <t>0ba946f4a9a046ca90476efe31d581f7</t>
        </is>
      </c>
    </row>
    <row r="732" ht="25.5" customHeight="1">
      <c r="A732" t="inlineStr">
        <is>
          <t>Progress Tracker</t>
        </is>
      </c>
      <c r="B732">
        <v>58</v>
      </c>
      <c r="C732" t="inlineStr">
        <is>
          <t>@杨春玉</t>
        </is>
      </c>
      <c r="D732">
        <v>1</v>
      </c>
      <c r="E732"/>
      <c r="F732" t="inlineStr">
        <is>
          <t>@陈佳杰</t>
        </is>
      </c>
      <c r="G732">
        <v>1</v>
      </c>
      <c r="H732"/>
      <c r="I732">
        <v>1</v>
      </c>
      <c r="J732" t="inlineStr">
        <is>
          <t>Verify the timeline layout is present on the page</t>
        </is>
      </c>
      <c r="K732" t="inlineStr">
        <is>
          <t>验证页面上存在时间线布局</t>
        </is>
      </c>
      <c r="L732" s="2" t="str">
        <f>=HYPERLINK("http://pre.mgx.dev/chat/5dd96c07732e48f3836dcef3348d31ec", "http://pre.mgx.dev/chat/5dd96c07732e48f3836dcef3348d31ec")</f>
        <v>http://pre.mgx.dev/chat/5dd96c07732e48f3836dcef3348d31ec</v>
      </c>
      <c r="M732" s="2" t="str">
        <f>=HYPERLINK("", "https://45756-5dd96c07732e48f3836dcef3348d31ec-3-latest.app.beta.mgx.dev")</f>
        <v>https://45756-5dd96c07732e48f3836dcef3348d31ec-3-latest.app.beta.mgx.dev</v>
      </c>
      <c r="N732" s="2" t="str">
        <f>=HYPERLINK("mailto:eval_46@auto.com", "eval_46@auto.com")</f>
        <v>eval_46@auto.com</v>
      </c>
      <c r="O732" t="inlineStr">
        <is>
          <t>5dd96c07732e48f3836dcef3348d31ec</t>
        </is>
      </c>
    </row>
    <row r="733" ht="25.5" customHeight="1">
      <c r="A733" t="inlineStr">
        <is>
          <t>Progress Tracker</t>
        </is>
      </c>
      <c r="B733">
        <v>58</v>
      </c>
      <c r="C733" t="inlineStr">
        <is>
          <t>@杨春玉</t>
        </is>
      </c>
      <c r="D733">
        <v>1</v>
      </c>
      <c r="E733"/>
      <c r="F733" t="inlineStr">
        <is>
          <t>@陈佳杰</t>
        </is>
      </c>
      <c r="G733">
        <v>1</v>
      </c>
      <c r="H733"/>
      <c r="I733">
        <v>2</v>
      </c>
      <c r="J733" t="inlineStr">
        <is>
          <t>Check if the timeline displays progress stages in chronological order</t>
        </is>
      </c>
      <c r="K733" t="inlineStr">
        <is>
          <t>检查时间线按时间顺序展示进度阶段</t>
        </is>
      </c>
      <c r="L733" s="2" t="str">
        <f>=HYPERLINK("http://pre.mgx.dev/chat/5dd96c07732e48f3836dcef3348d31ec", "http://pre.mgx.dev/chat/5dd96c07732e48f3836dcef3348d31ec")</f>
        <v>http://pre.mgx.dev/chat/5dd96c07732e48f3836dcef3348d31ec</v>
      </c>
      <c r="M733" s="2" t="str">
        <f>=HYPERLINK("", "https://45756-5dd96c07732e48f3836dcef3348d31ec-3-latest.app.beta.mgx.dev")</f>
        <v>https://45756-5dd96c07732e48f3836dcef3348d31ec-3-latest.app.beta.mgx.dev</v>
      </c>
      <c r="N733" s="2" t="str">
        <f>=HYPERLINK("mailto:eval_46@auto.com", "eval_46@auto.com")</f>
        <v>eval_46@auto.com</v>
      </c>
      <c r="O733" t="inlineStr">
        <is>
          <t>5dd96c07732e48f3836dcef3348d31ec</t>
        </is>
      </c>
    </row>
    <row r="734" ht="25.5" customHeight="1">
      <c r="A734" t="inlineStr">
        <is>
          <t>Progress Tracker</t>
        </is>
      </c>
      <c r="B734">
        <v>58</v>
      </c>
      <c r="C734" t="inlineStr">
        <is>
          <t>@杨春玉</t>
        </is>
      </c>
      <c r="D734">
        <v>1</v>
      </c>
      <c r="E734"/>
      <c r="F734" t="inlineStr">
        <is>
          <t>@陈佳杰</t>
        </is>
      </c>
      <c r="G734">
        <v>1</v>
      </c>
      <c r="H734"/>
      <c r="I734">
        <v>3</v>
      </c>
      <c r="J734" t="inlineStr">
        <is>
          <t>Confirm before-and-after comparison images are displayed within the timeline</t>
        </is>
      </c>
      <c r="K734" t="inlineStr">
        <is>
          <t>确认时间线中展示前后对比图</t>
        </is>
      </c>
      <c r="L734" s="2" t="str">
        <f>=HYPERLINK("http://pre.mgx.dev/chat/5dd96c07732e48f3836dcef3348d31ec", "http://pre.mgx.dev/chat/5dd96c07732e48f3836dcef3348d31ec")</f>
        <v>http://pre.mgx.dev/chat/5dd96c07732e48f3836dcef3348d31ec</v>
      </c>
      <c r="M734" s="2" t="str">
        <f>=HYPERLINK("", "https://45756-5dd96c07732e48f3836dcef3348d31ec-3-latest.app.beta.mgx.dev")</f>
        <v>https://45756-5dd96c07732e48f3836dcef3348d31ec-3-latest.app.beta.mgx.dev</v>
      </c>
      <c r="N734" s="2" t="str">
        <f>=HYPERLINK("mailto:eval_46@auto.com", "eval_46@auto.com")</f>
        <v>eval_46@auto.com</v>
      </c>
      <c r="O734" t="inlineStr">
        <is>
          <t>5dd96c07732e48f3836dcef3348d31ec</t>
        </is>
      </c>
    </row>
    <row r="735" ht="25.5" customHeight="1">
      <c r="A735" t="inlineStr">
        <is>
          <t>Progress Tracker</t>
        </is>
      </c>
      <c r="B735">
        <v>58</v>
      </c>
      <c r="C735" t="inlineStr">
        <is>
          <t>@杨春玉</t>
        </is>
      </c>
      <c r="D735">
        <v>1</v>
      </c>
      <c r="E735"/>
      <c r="F735" t="inlineStr">
        <is>
          <t>@陈佳杰</t>
        </is>
      </c>
      <c r="G735">
        <v>1</v>
      </c>
      <c r="H735"/>
      <c r="I735">
        <v>4</v>
      </c>
      <c r="J735" t="inlineStr">
        <is>
          <t>Verify that before-and-after images are clearly labeled</t>
        </is>
      </c>
      <c r="K735" t="inlineStr">
        <is>
          <t>验证前后对比图标注清晰</t>
        </is>
      </c>
      <c r="L735" s="2" t="str">
        <f>=HYPERLINK("http://pre.mgx.dev/chat/5dd96c07732e48f3836dcef3348d31ec", "http://pre.mgx.dev/chat/5dd96c07732e48f3836dcef3348d31ec")</f>
        <v>http://pre.mgx.dev/chat/5dd96c07732e48f3836dcef3348d31ec</v>
      </c>
      <c r="M735" s="2" t="str">
        <f>=HYPERLINK("", "https://45756-5dd96c07732e48f3836dcef3348d31ec-3-latest.app.beta.mgx.dev")</f>
        <v>https://45756-5dd96c07732e48f3836dcef3348d31ec-3-latest.app.beta.mgx.dev</v>
      </c>
      <c r="N735" s="2" t="str">
        <f>=HYPERLINK("mailto:eval_46@auto.com", "eval_46@auto.com")</f>
        <v>eval_46@auto.com</v>
      </c>
      <c r="O735" t="inlineStr">
        <is>
          <t>5dd96c07732e48f3836dcef3348d31ec</t>
        </is>
      </c>
    </row>
    <row r="736" ht="25.5" customHeight="1">
      <c r="A736" t="inlineStr">
        <is>
          <t>Progress Tracker</t>
        </is>
      </c>
      <c r="B736">
        <v>58</v>
      </c>
      <c r="C736" t="inlineStr">
        <is>
          <t>@杨春玉</t>
        </is>
      </c>
      <c r="D736">
        <v>1</v>
      </c>
      <c r="E736"/>
      <c r="F736" t="inlineStr">
        <is>
          <t>@陈佳杰</t>
        </is>
      </c>
      <c r="G736">
        <v>1</v>
      </c>
      <c r="H736"/>
      <c r="I736">
        <v>5</v>
      </c>
      <c r="J736" t="inlineStr">
        <is>
          <t>Test if before-and-after images load correctly and are visible</t>
        </is>
      </c>
      <c r="K736" t="inlineStr">
        <is>
          <t>测试前后对比图正常加载且可见</t>
        </is>
      </c>
      <c r="L736" s="2" t="str">
        <f>=HYPERLINK("http://pre.mgx.dev/chat/5dd96c07732e48f3836dcef3348d31ec", "http://pre.mgx.dev/chat/5dd96c07732e48f3836dcef3348d31ec")</f>
        <v>http://pre.mgx.dev/chat/5dd96c07732e48f3836dcef3348d31ec</v>
      </c>
      <c r="M736" s="2" t="str">
        <f>=HYPERLINK("", "https://45756-5dd96c07732e48f3836dcef3348d31ec-3-latest.app.beta.mgx.dev")</f>
        <v>https://45756-5dd96c07732e48f3836dcef3348d31ec-3-latest.app.beta.mgx.dev</v>
      </c>
      <c r="N736" s="2" t="str">
        <f>=HYPERLINK("mailto:eval_46@auto.com", "eval_46@auto.com")</f>
        <v>eval_46@auto.com</v>
      </c>
      <c r="O736" t="inlineStr">
        <is>
          <t>5dd96c07732e48f3836dcef3348d31ec</t>
        </is>
      </c>
    </row>
    <row r="737" ht="25.5" customHeight="1">
      <c r="A737" t="inlineStr">
        <is>
          <t>Progress Tracker</t>
        </is>
      </c>
      <c r="B737">
        <v>58</v>
      </c>
      <c r="C737" t="inlineStr">
        <is>
          <t>@杨春玉</t>
        </is>
      </c>
      <c r="D737">
        <v>1</v>
      </c>
      <c r="E737"/>
      <c r="F737" t="inlineStr">
        <is>
          <t>@陈佳杰</t>
        </is>
      </c>
      <c r="G737">
        <v>1</v>
      </c>
      <c r="H737"/>
      <c r="I737">
        <v>6</v>
      </c>
      <c r="J737" t="inlineStr">
        <is>
          <t>Check if progress markers are present on the timeline</t>
        </is>
      </c>
      <c r="K737" t="inlineStr">
        <is>
          <t>检查时间线上存在进度标记</t>
        </is>
      </c>
      <c r="L737" s="2" t="str">
        <f>=HYPERLINK("http://pre.mgx.dev/chat/5dd96c07732e48f3836dcef3348d31ec", "http://pre.mgx.dev/chat/5dd96c07732e48f3836dcef3348d31ec")</f>
        <v>http://pre.mgx.dev/chat/5dd96c07732e48f3836dcef3348d31ec</v>
      </c>
      <c r="M737" s="2" t="str">
        <f>=HYPERLINK("", "https://45756-5dd96c07732e48f3836dcef3348d31ec-3-latest.app.beta.mgx.dev")</f>
        <v>https://45756-5dd96c07732e48f3836dcef3348d31ec-3-latest.app.beta.mgx.dev</v>
      </c>
      <c r="N737" s="2" t="str">
        <f>=HYPERLINK("mailto:eval_46@auto.com", "eval_46@auto.com")</f>
        <v>eval_46@auto.com</v>
      </c>
      <c r="O737" t="inlineStr">
        <is>
          <t>5dd96c07732e48f3836dcef3348d31ec</t>
        </is>
      </c>
    </row>
    <row r="738" ht="25.5" customHeight="1">
      <c r="A738" t="inlineStr">
        <is>
          <t>Progress Tracker</t>
        </is>
      </c>
      <c r="B738">
        <v>58</v>
      </c>
      <c r="C738" t="inlineStr">
        <is>
          <t>@杨春玉</t>
        </is>
      </c>
      <c r="D738">
        <v>1</v>
      </c>
      <c r="E738"/>
      <c r="F738" t="inlineStr">
        <is>
          <t>@陈佳杰</t>
        </is>
      </c>
      <c r="G738">
        <v>1</v>
      </c>
      <c r="H738"/>
      <c r="I738">
        <v>7</v>
      </c>
      <c r="J738" t="inlineStr">
        <is>
          <t>Verify that progress markers highlight key milestones</t>
        </is>
      </c>
      <c r="K738" t="inlineStr">
        <is>
          <t>验证进度标记突出显示关键里程碑</t>
        </is>
      </c>
      <c r="L738" s="2" t="str">
        <f>=HYPERLINK("http://pre.mgx.dev/chat/5dd96c07732e48f3836dcef3348d31ec", "http://pre.mgx.dev/chat/5dd96c07732e48f3836dcef3348d31ec")</f>
        <v>http://pre.mgx.dev/chat/5dd96c07732e48f3836dcef3348d31ec</v>
      </c>
      <c r="M738" s="2" t="str">
        <f>=HYPERLINK("", "https://45756-5dd96c07732e48f3836dcef3348d31ec-3-latest.app.beta.mgx.dev")</f>
        <v>https://45756-5dd96c07732e48f3836dcef3348d31ec-3-latest.app.beta.mgx.dev</v>
      </c>
      <c r="N738" s="2" t="str">
        <f>=HYPERLINK("mailto:eval_46@auto.com", "eval_46@auto.com")</f>
        <v>eval_46@auto.com</v>
      </c>
      <c r="O738" t="inlineStr">
        <is>
          <t>5dd96c07732e48f3836dcef3348d31ec</t>
        </is>
      </c>
    </row>
    <row r="739" ht="25.5" customHeight="1">
      <c r="A739" t="inlineStr">
        <is>
          <t>Progress Tracker</t>
        </is>
      </c>
      <c r="B739">
        <v>58</v>
      </c>
      <c r="C739" t="inlineStr">
        <is>
          <t>@杨春玉</t>
        </is>
      </c>
      <c r="D739">
        <v>0</v>
      </c>
      <c r="E739" t="inlineStr">
        <is>
          <t>点击后未展示额外信息</t>
        </is>
      </c>
      <c r="F739" t="inlineStr">
        <is>
          <t>@陈佳杰</t>
        </is>
      </c>
      <c r="G739">
        <v>0</v>
      </c>
      <c r="H739" t="inlineStr">
        <is>
          <t>点击后无响应</t>
        </is>
      </c>
      <c r="I739">
        <v>8</v>
      </c>
      <c r="J739" t="inlineStr">
        <is>
          <t>Ensure progress markers are clickable and provide additional information when interacted with</t>
        </is>
      </c>
      <c r="K739" t="inlineStr">
        <is>
          <t>确保进度标记可点击，且交互时展示额外信息</t>
        </is>
      </c>
      <c r="L739" s="2" t="str">
        <f>=HYPERLINK("http://pre.mgx.dev/chat/5dd96c07732e48f3836dcef3348d31ec", "http://pre.mgx.dev/chat/5dd96c07732e48f3836dcef3348d31ec")</f>
        <v>http://pre.mgx.dev/chat/5dd96c07732e48f3836dcef3348d31ec</v>
      </c>
      <c r="M739" s="2" t="str">
        <f>=HYPERLINK("", "https://45756-5dd96c07732e48f3836dcef3348d31ec-3-latest.app.beta.mgx.dev")</f>
        <v>https://45756-5dd96c07732e48f3836dcef3348d31ec-3-latest.app.beta.mgx.dev</v>
      </c>
      <c r="N739" s="2" t="str">
        <f>=HYPERLINK("mailto:eval_46@auto.com", "eval_46@auto.com")</f>
        <v>eval_46@auto.com</v>
      </c>
      <c r="O739" t="inlineStr">
        <is>
          <t>5dd96c07732e48f3836dcef3348d31ec</t>
        </is>
      </c>
    </row>
    <row r="740" ht="25.5" customHeight="1">
      <c r="A740" t="inlineStr">
        <is>
          <t>Progress Tracker</t>
        </is>
      </c>
      <c r="B740">
        <v>58</v>
      </c>
      <c r="C740" t="inlineStr">
        <is>
          <t>@杨春玉</t>
        </is>
      </c>
      <c r="D740">
        <v>1</v>
      </c>
      <c r="E740"/>
      <c r="F740" t="inlineStr">
        <is>
          <t>@陈佳杰</t>
        </is>
      </c>
      <c r="G740">
        <v>1</v>
      </c>
      <c r="H740"/>
      <c r="I740">
        <v>9</v>
      </c>
      <c r="J740" t="inlineStr">
        <is>
          <t>Confirm monthly summary cards are present at each time point on the timeline</t>
        </is>
      </c>
      <c r="K740" t="inlineStr">
        <is>
          <t>确认时间线的每个时间节点均配有月度总结卡片</t>
        </is>
      </c>
      <c r="L740" s="2" t="str">
        <f>=HYPERLINK("http://pre.mgx.dev/chat/5dd96c07732e48f3836dcef3348d31ec", "http://pre.mgx.dev/chat/5dd96c07732e48f3836dcef3348d31ec")</f>
        <v>http://pre.mgx.dev/chat/5dd96c07732e48f3836dcef3348d31ec</v>
      </c>
      <c r="M740" s="2" t="str">
        <f>=HYPERLINK("", "https://45756-5dd96c07732e48f3836dcef3348d31ec-3-latest.app.beta.mgx.dev")</f>
        <v>https://45756-5dd96c07732e48f3836dcef3348d31ec-3-latest.app.beta.mgx.dev</v>
      </c>
      <c r="N740" s="2" t="str">
        <f>=HYPERLINK("mailto:eval_46@auto.com", "eval_46@auto.com")</f>
        <v>eval_46@auto.com</v>
      </c>
      <c r="O740" t="inlineStr">
        <is>
          <t>5dd96c07732e48f3836dcef3348d31ec</t>
        </is>
      </c>
    </row>
    <row r="741" ht="25.5" customHeight="1">
      <c r="A741" t="inlineStr">
        <is>
          <t>Progress Tracker</t>
        </is>
      </c>
      <c r="B741">
        <v>58</v>
      </c>
      <c r="C741" t="inlineStr">
        <is>
          <t>@杨春玉</t>
        </is>
      </c>
      <c r="D741">
        <v>1</v>
      </c>
      <c r="E741"/>
      <c r="F741" t="inlineStr">
        <is>
          <t>@陈佳杰</t>
        </is>
      </c>
      <c r="G741">
        <v>1</v>
      </c>
      <c r="H741"/>
      <c r="I741">
        <v>10</v>
      </c>
      <c r="J741" t="inlineStr">
        <is>
          <t>Verify that monthly summary cards contain descriptions of achievements and challenges</t>
        </is>
      </c>
      <c r="K741" t="inlineStr">
        <is>
          <t>验证月度总结卡片包含成就和挑战的描述</t>
        </is>
      </c>
      <c r="L741" s="2" t="str">
        <f>=HYPERLINK("http://pre.mgx.dev/chat/5dd96c07732e48f3836dcef3348d31ec", "http://pre.mgx.dev/chat/5dd96c07732e48f3836dcef3348d31ec")</f>
        <v>http://pre.mgx.dev/chat/5dd96c07732e48f3836dcef3348d31ec</v>
      </c>
      <c r="M741" s="2" t="str">
        <f>=HYPERLINK("", "https://45756-5dd96c07732e48f3836dcef3348d31ec-3-latest.app.beta.mgx.dev")</f>
        <v>https://45756-5dd96c07732e48f3836dcef3348d31ec-3-latest.app.beta.mgx.dev</v>
      </c>
      <c r="N741" s="2" t="str">
        <f>=HYPERLINK("mailto:eval_46@auto.com", "eval_46@auto.com")</f>
        <v>eval_46@auto.com</v>
      </c>
      <c r="O741" t="inlineStr">
        <is>
          <t>5dd96c07732e48f3836dcef3348d31ec</t>
        </is>
      </c>
    </row>
    <row r="742" ht="25.5" customHeight="1">
      <c r="A742" t="inlineStr">
        <is>
          <t>Progress Tracker</t>
        </is>
      </c>
      <c r="B742">
        <v>58</v>
      </c>
      <c r="C742" t="inlineStr">
        <is>
          <t>@杨春玉</t>
        </is>
      </c>
      <c r="D742">
        <v>0</v>
      </c>
      <c r="E742" t="inlineStr">
        <is>
          <t>无该功能</t>
        </is>
      </c>
      <c r="F742" t="inlineStr">
        <is>
          <t>@陈佳杰</t>
        </is>
      </c>
      <c r="G742">
        <v>0</v>
      </c>
      <c r="H742" t="inlineStr">
        <is>
          <t>点击无交互</t>
        </is>
      </c>
      <c r="I742">
        <v>11</v>
      </c>
      <c r="J742" t="inlineStr">
        <is>
          <t>Check if monthly summary cards are expandable/collapsible for better user experience</t>
        </is>
      </c>
      <c r="K742" t="inlineStr">
        <is>
          <t>检查月度总结卡片可展开/折叠，提升用户体验</t>
        </is>
      </c>
      <c r="L742" s="2" t="str">
        <f>=HYPERLINK("http://pre.mgx.dev/chat/5dd96c07732e48f3836dcef3348d31ec", "http://pre.mgx.dev/chat/5dd96c07732e48f3836dcef3348d31ec")</f>
        <v>http://pre.mgx.dev/chat/5dd96c07732e48f3836dcef3348d31ec</v>
      </c>
      <c r="M742" s="2" t="str">
        <f>=HYPERLINK("", "https://45756-5dd96c07732e48f3836dcef3348d31ec-3-latest.app.beta.mgx.dev")</f>
        <v>https://45756-5dd96c07732e48f3836dcef3348d31ec-3-latest.app.beta.mgx.dev</v>
      </c>
      <c r="N742" s="2" t="str">
        <f>=HYPERLINK("mailto:eval_46@auto.com", "eval_46@auto.com")</f>
        <v>eval_46@auto.com</v>
      </c>
      <c r="O742" t="inlineStr">
        <is>
          <t>5dd96c07732e48f3836dcef3348d31ec</t>
        </is>
      </c>
    </row>
    <row r="743" ht="25.5" customHeight="1">
      <c r="A743" t="inlineStr">
        <is>
          <t>Progress Tracker</t>
        </is>
      </c>
      <c r="B743">
        <v>58</v>
      </c>
      <c r="C743" t="inlineStr">
        <is>
          <t>@杨春玉</t>
        </is>
      </c>
      <c r="D743">
        <v>1</v>
      </c>
      <c r="E743"/>
      <c r="F743" t="inlineStr">
        <is>
          <t>@陈佳杰</t>
        </is>
      </c>
      <c r="G743">
        <v>1</v>
      </c>
      <c r="H743"/>
      <c r="I743">
        <v>12</v>
      </c>
      <c r="J743" t="inlineStr">
        <is>
          <t>Verify the presence of a category filter on the page</t>
        </is>
      </c>
      <c r="K743" t="inlineStr">
        <is>
          <t>验证页面上存在分类筛选器</t>
        </is>
      </c>
      <c r="L743" s="2" t="str">
        <f>=HYPERLINK("http://pre.mgx.dev/chat/5dd96c07732e48f3836dcef3348d31ec", "http://pre.mgx.dev/chat/5dd96c07732e48f3836dcef3348d31ec")</f>
        <v>http://pre.mgx.dev/chat/5dd96c07732e48f3836dcef3348d31ec</v>
      </c>
      <c r="M743" s="2" t="str">
        <f>=HYPERLINK("", "https://45756-5dd96c07732e48f3836dcef3348d31ec-3-latest.app.beta.mgx.dev")</f>
        <v>https://45756-5dd96c07732e48f3836dcef3348d31ec-3-latest.app.beta.mgx.dev</v>
      </c>
      <c r="N743" s="2" t="str">
        <f>=HYPERLINK("mailto:eval_46@auto.com", "eval_46@auto.com")</f>
        <v>eval_46@auto.com</v>
      </c>
      <c r="O743" t="inlineStr">
        <is>
          <t>5dd96c07732e48f3836dcef3348d31ec</t>
        </is>
      </c>
    </row>
    <row r="744" ht="25.5" customHeight="1">
      <c r="A744" t="inlineStr">
        <is>
          <t>Progress Tracker</t>
        </is>
      </c>
      <c r="B744">
        <v>58</v>
      </c>
      <c r="C744" t="inlineStr">
        <is>
          <t>@杨春玉</t>
        </is>
      </c>
      <c r="D744">
        <v>1</v>
      </c>
      <c r="E744"/>
      <c r="F744" t="inlineStr">
        <is>
          <t>@陈佳杰</t>
        </is>
      </c>
      <c r="G744">
        <v>1</v>
      </c>
      <c r="H744"/>
      <c r="I744">
        <v>13</v>
      </c>
      <c r="J744" t="inlineStr">
        <is>
          <t>Test if the category filter allows selection of different progress topics</t>
        </is>
      </c>
      <c r="K744" t="inlineStr">
        <is>
          <t>测试分类筛选器可选择不同的进度主题</t>
        </is>
      </c>
      <c r="L744" s="2" t="str">
        <f>=HYPERLINK("http://pre.mgx.dev/chat/5dd96c07732e48f3836dcef3348d31ec", "http://pre.mgx.dev/chat/5dd96c07732e48f3836dcef3348d31ec")</f>
        <v>http://pre.mgx.dev/chat/5dd96c07732e48f3836dcef3348d31ec</v>
      </c>
      <c r="M744" s="2" t="str">
        <f>=HYPERLINK("", "https://45756-5dd96c07732e48f3836dcef3348d31ec-3-latest.app.beta.mgx.dev")</f>
        <v>https://45756-5dd96c07732e48f3836dcef3348d31ec-3-latest.app.beta.mgx.dev</v>
      </c>
      <c r="N744" s="2" t="str">
        <f>=HYPERLINK("mailto:eval_46@auto.com", "eval_46@auto.com")</f>
        <v>eval_46@auto.com</v>
      </c>
      <c r="O744" t="inlineStr">
        <is>
          <t>5dd96c07732e48f3836dcef3348d31ec</t>
        </is>
      </c>
    </row>
    <row r="745" ht="25.5" customHeight="1">
      <c r="A745" t="inlineStr">
        <is>
          <t>Progress Tracker</t>
        </is>
      </c>
      <c r="B745">
        <v>58</v>
      </c>
      <c r="C745" t="inlineStr">
        <is>
          <t>@杨春玉</t>
        </is>
      </c>
      <c r="D745">
        <v>1</v>
      </c>
      <c r="E745"/>
      <c r="F745" t="inlineStr">
        <is>
          <t>@陈佳杰</t>
        </is>
      </c>
      <c r="G745">
        <v>1</v>
      </c>
      <c r="H745"/>
      <c r="I745">
        <v>14</v>
      </c>
      <c r="J745" t="inlineStr">
        <is>
          <t>Ensure the timeline updates correctly when a category is selected in the filter</t>
        </is>
      </c>
      <c r="K745" t="inlineStr">
        <is>
          <t>确保选择筛选器中的分类后时间线同步更新</t>
        </is>
      </c>
      <c r="L745" s="2" t="str">
        <f>=HYPERLINK("http://pre.mgx.dev/chat/5dd96c07732e48f3836dcef3348d31ec", "http://pre.mgx.dev/chat/5dd96c07732e48f3836dcef3348d31ec")</f>
        <v>http://pre.mgx.dev/chat/5dd96c07732e48f3836dcef3348d31ec</v>
      </c>
      <c r="M745" s="2" t="str">
        <f>=HYPERLINK("", "https://45756-5dd96c07732e48f3836dcef3348d31ec-3-latest.app.beta.mgx.dev")</f>
        <v>https://45756-5dd96c07732e48f3836dcef3348d31ec-3-latest.app.beta.mgx.dev</v>
      </c>
      <c r="N745" s="2" t="str">
        <f>=HYPERLINK("mailto:eval_46@auto.com", "eval_46@auto.com")</f>
        <v>eval_46@auto.com</v>
      </c>
      <c r="O745" t="inlineStr">
        <is>
          <t>5dd96c07732e48f3836dcef3348d31ec</t>
        </is>
      </c>
    </row>
    <row r="746" ht="25.5" customHeight="1">
      <c r="A746" t="inlineStr">
        <is>
          <t>Progress Tracker</t>
        </is>
      </c>
      <c r="B746">
        <v>58</v>
      </c>
      <c r="C746" t="inlineStr">
        <is>
          <t>@杨春玉</t>
        </is>
      </c>
      <c r="D746">
        <v>1</v>
      </c>
      <c r="E746"/>
      <c r="F746" t="inlineStr">
        <is>
          <t>@陈佳杰</t>
        </is>
      </c>
      <c r="G746">
        <v>1</v>
      </c>
      <c r="H746"/>
      <c r="I746">
        <v>15</v>
      </c>
      <c r="J746" t="inlineStr">
        <is>
          <t>Confirm the presence of an image preview feature</t>
        </is>
      </c>
      <c r="K746" t="inlineStr">
        <is>
          <t>确认存在图片预览功能</t>
        </is>
      </c>
      <c r="L746" s="2" t="str">
        <f>=HYPERLINK("http://pre.mgx.dev/chat/5dd96c07732e48f3836dcef3348d31ec", "http://pre.mgx.dev/chat/5dd96c07732e48f3836dcef3348d31ec")</f>
        <v>http://pre.mgx.dev/chat/5dd96c07732e48f3836dcef3348d31ec</v>
      </c>
      <c r="M746" s="2" t="str">
        <f>=HYPERLINK("", "https://45756-5dd96c07732e48f3836dcef3348d31ec-3-latest.app.beta.mgx.dev")</f>
        <v>https://45756-5dd96c07732e48f3836dcef3348d31ec-3-latest.app.beta.mgx.dev</v>
      </c>
      <c r="N746" s="2" t="str">
        <f>=HYPERLINK("mailto:eval_46@auto.com", "eval_46@auto.com")</f>
        <v>eval_46@auto.com</v>
      </c>
      <c r="O746" t="inlineStr">
        <is>
          <t>5dd96c07732e48f3836dcef3348d31ec</t>
        </is>
      </c>
    </row>
    <row r="747" ht="25.5" customHeight="1">
      <c r="A747" t="inlineStr">
        <is>
          <t>Progress Tracker</t>
        </is>
      </c>
      <c r="B747">
        <v>58</v>
      </c>
      <c r="C747" t="inlineStr">
        <is>
          <t>@杨春玉</t>
        </is>
      </c>
      <c r="D747">
        <v>1</v>
      </c>
      <c r="E747"/>
      <c r="F747" t="inlineStr">
        <is>
          <t>@陈佳杰</t>
        </is>
      </c>
      <c r="G747">
        <v>1</v>
      </c>
      <c r="H747"/>
      <c r="I747">
        <v>16</v>
      </c>
      <c r="J747" t="inlineStr">
        <is>
          <t>Test if clicking on timeline images opens a preview modal or enlarges the image</t>
        </is>
      </c>
      <c r="K747" t="inlineStr">
        <is>
          <t>测试点击时间线中的图片可打开预览弹窗或放大图片</t>
        </is>
      </c>
      <c r="L747" s="2" t="str">
        <f>=HYPERLINK("http://pre.mgx.dev/chat/5dd96c07732e48f3836dcef3348d31ec", "http://pre.mgx.dev/chat/5dd96c07732e48f3836dcef3348d31ec")</f>
        <v>http://pre.mgx.dev/chat/5dd96c07732e48f3836dcef3348d31ec</v>
      </c>
      <c r="M747" s="2" t="str">
        <f>=HYPERLINK("", "https://45756-5dd96c07732e48f3836dcef3348d31ec-3-latest.app.beta.mgx.dev")</f>
        <v>https://45756-5dd96c07732e48f3836dcef3348d31ec-3-latest.app.beta.mgx.dev</v>
      </c>
      <c r="N747" s="2" t="str">
        <f>=HYPERLINK("mailto:eval_46@auto.com", "eval_46@auto.com")</f>
        <v>eval_46@auto.com</v>
      </c>
      <c r="O747" t="inlineStr">
        <is>
          <t>5dd96c07732e48f3836dcef3348d31ec</t>
        </is>
      </c>
    </row>
    <row r="748" ht="25.5" customHeight="1">
      <c r="A748" t="inlineStr">
        <is>
          <t>Progress Tracker</t>
        </is>
      </c>
      <c r="B748">
        <v>58</v>
      </c>
      <c r="C748" t="inlineStr">
        <is>
          <t>@杨春玉</t>
        </is>
      </c>
      <c r="D748">
        <v>1</v>
      </c>
      <c r="E748"/>
      <c r="F748" t="inlineStr">
        <is>
          <t>@陈佳杰</t>
        </is>
      </c>
      <c r="G748">
        <v>1</v>
      </c>
      <c r="H748"/>
      <c r="I748">
        <v>17</v>
      </c>
      <c r="J748" t="inlineStr">
        <is>
          <t>Verify that the image preview allows users to view detailed images from each stage</t>
        </is>
      </c>
      <c r="K748" t="inlineStr">
        <is>
          <t>验证图片预览允许用户查看各阶段的细节图片</t>
        </is>
      </c>
      <c r="L748" s="2" t="str">
        <f>=HYPERLINK("http://pre.mgx.dev/chat/5dd96c07732e48f3836dcef3348d31ec", "http://pre.mgx.dev/chat/5dd96c07732e48f3836dcef3348d31ec")</f>
        <v>http://pre.mgx.dev/chat/5dd96c07732e48f3836dcef3348d31ec</v>
      </c>
      <c r="M748" s="2" t="str">
        <f>=HYPERLINK("", "https://45756-5dd96c07732e48f3836dcef3348d31ec-3-latest.app.beta.mgx.dev")</f>
        <v>https://45756-5dd96c07732e48f3836dcef3348d31ec-3-latest.app.beta.mgx.dev</v>
      </c>
      <c r="N748" s="2" t="str">
        <f>=HYPERLINK("mailto:eval_46@auto.com", "eval_46@auto.com")</f>
        <v>eval_46@auto.com</v>
      </c>
      <c r="O748" t="inlineStr">
        <is>
          <t>5dd96c07732e48f3836dcef3348d31ec</t>
        </is>
      </c>
    </row>
    <row r="749" ht="25.5" customHeight="1">
      <c r="A749" t="inlineStr">
        <is>
          <t>Progress Tracker</t>
        </is>
      </c>
      <c r="B749">
        <v>58</v>
      </c>
      <c r="C749" t="inlineStr">
        <is>
          <t>@杨春玉</t>
        </is>
      </c>
      <c r="D749">
        <v>1</v>
      </c>
      <c r="E749"/>
      <c r="F749" t="inlineStr">
        <is>
          <t>@陈佳杰</t>
        </is>
      </c>
      <c r="G749">
        <v>1</v>
      </c>
      <c r="H749"/>
      <c r="I749">
        <v>18</v>
      </c>
      <c r="J749" t="inlineStr">
        <is>
          <t>Check if the image preview can be closed and the user can return to the main timeline view</t>
        </is>
      </c>
      <c r="K749" t="inlineStr">
        <is>
          <t>检查图片预览可关闭，且用户可返回主时间线视图</t>
        </is>
      </c>
      <c r="L749" s="2" t="str">
        <f>=HYPERLINK("http://pre.mgx.dev/chat/5dd96c07732e48f3836dcef3348d31ec", "http://pre.mgx.dev/chat/5dd96c07732e48f3836dcef3348d31ec")</f>
        <v>http://pre.mgx.dev/chat/5dd96c07732e48f3836dcef3348d31ec</v>
      </c>
      <c r="M749" s="2" t="str">
        <f>=HYPERLINK("", "https://45756-5dd96c07732e48f3836dcef3348d31ec-3-latest.app.beta.mgx.dev")</f>
        <v>https://45756-5dd96c07732e48f3836dcef3348d31ec-3-latest.app.beta.mgx.dev</v>
      </c>
      <c r="N749" s="2" t="str">
        <f>=HYPERLINK("mailto:eval_46@auto.com", "eval_46@auto.com")</f>
        <v>eval_46@auto.com</v>
      </c>
      <c r="O749" t="inlineStr">
        <is>
          <t>5dd96c07732e48f3836dcef3348d31ec</t>
        </is>
      </c>
    </row>
    <row r="750" ht="25.5" customHeight="1">
      <c r="A750" t="inlineStr">
        <is>
          <t>Theme Game Mod</t>
        </is>
      </c>
      <c r="B750">
        <v>59</v>
      </c>
      <c r="C750" t="inlineStr">
        <is>
          <t>@杨春玉</t>
        </is>
      </c>
      <c r="D750"/>
      <c r="E750"/>
      <c r="F750" t="inlineStr">
        <is>
          <t>@陈佳杰</t>
        </is>
      </c>
      <c r="G750"/>
      <c r="H750"/>
      <c r="I750">
        <v>1</v>
      </c>
      <c r="J750" t="inlineStr">
        <is>
          <t>Confirm that gold coins have been replaced with scroll items</t>
        </is>
      </c>
      <c r="K750" t="inlineStr">
        <is>
          <t>确认金币已替换为卷轴道具</t>
        </is>
      </c>
      <c r="L750" s="2" t="str">
        <f>=HYPERLINK("https://atoms.dev/chat/f08c89d9be4a4936a9ffa33a4074c0ca", "https://atoms.dev/chat/f08c89d9be4a4936a9ffa33a4074c0ca")</f>
        <v>https://atoms.dev/chat/f08c89d9be4a4936a9ffa33a4074c0ca</v>
      </c>
      <c r="M750" s="2"/>
      <c r="N750" s="2" t="str">
        <f>=HYPERLINK("http://press_test10@mgx.dev", "press_test10@mgx.dev")</f>
        <v>press_test10@mgx.dev</v>
      </c>
      <c r="O750" t="inlineStr">
        <is>
          <t>f08c89d9be4a4936a9ffa33a4074c0ca</t>
        </is>
      </c>
    </row>
    <row r="751" ht="25.5" customHeight="1">
      <c r="A751" t="inlineStr">
        <is>
          <t>Theme Game Mod</t>
        </is>
      </c>
      <c r="B751">
        <v>59</v>
      </c>
      <c r="C751" t="inlineStr">
        <is>
          <t>@杨春玉</t>
        </is>
      </c>
      <c r="D751"/>
      <c r="E751"/>
      <c r="F751" t="inlineStr">
        <is>
          <t>@陈佳杰</t>
        </is>
      </c>
      <c r="G751"/>
      <c r="H751"/>
      <c r="I751">
        <v>2</v>
      </c>
      <c r="J751" t="inlineStr">
        <is>
          <t>Verify that collecting scrolls increases the player's score</t>
        </is>
      </c>
      <c r="K751" t="inlineStr">
        <is>
          <t>确认收集卷轴可增加玩家分数</t>
        </is>
      </c>
      <c r="L751" s="2" t="str">
        <f>=HYPERLINK("https://atoms.dev/chat/f08c89d9be4a4936a9ffa33a4074c0ca", "https://atoms.dev/chat/f08c89d9be4a4936a9ffa33a4074c0ca")</f>
        <v>https://atoms.dev/chat/f08c89d9be4a4936a9ffa33a4074c0ca</v>
      </c>
      <c r="M751" s="2"/>
      <c r="N751" s="2" t="str">
        <f>=HYPERLINK("http://press_test10@mgx.dev", "press_test10@mgx.dev")</f>
        <v>press_test10@mgx.dev</v>
      </c>
      <c r="O751" t="inlineStr">
        <is>
          <t>f08c89d9be4a4936a9ffa33a4074c0ca</t>
        </is>
      </c>
    </row>
    <row r="752" ht="25.5" customHeight="1">
      <c r="A752" t="inlineStr">
        <is>
          <t>Theme Game Mod</t>
        </is>
      </c>
      <c r="B752">
        <v>59</v>
      </c>
      <c r="C752" t="inlineStr">
        <is>
          <t>@杨春玉</t>
        </is>
      </c>
      <c r="D752"/>
      <c r="E752"/>
      <c r="F752" t="inlineStr">
        <is>
          <t>@陈佳杰</t>
        </is>
      </c>
      <c r="G752"/>
      <c r="H752"/>
      <c r="I752">
        <v>3</v>
      </c>
      <c r="J752" t="inlineStr">
        <is>
          <t>Confirm that the score display shows 'Scrolls' instead of 'Coins' or 'Points'</t>
        </is>
      </c>
      <c r="K752" t="inlineStr">
        <is>
          <t>确认分数展示区域显示“卷轴”而非“金币”或“积分”</t>
        </is>
      </c>
      <c r="L752" s="2" t="str">
        <f>=HYPERLINK("https://atoms.dev/chat/f08c89d9be4a4936a9ffa33a4074c0ca", "https://atoms.dev/chat/f08c89d9be4a4936a9ffa33a4074c0ca")</f>
        <v>https://atoms.dev/chat/f08c89d9be4a4936a9ffa33a4074c0ca</v>
      </c>
      <c r="M752" s="2"/>
      <c r="N752" s="2" t="str">
        <f>=HYPERLINK("http://press_test10@mgx.dev", "press_test10@mgx.dev")</f>
        <v>press_test10@mgx.dev</v>
      </c>
      <c r="O752" t="inlineStr">
        <is>
          <t>f08c89d9be4a4936a9ffa33a4074c0ca</t>
        </is>
      </c>
    </row>
    <row r="753" ht="25.5" customHeight="1">
      <c r="A753" t="inlineStr">
        <is>
          <t>Theme Game Mod</t>
        </is>
      </c>
      <c r="B753">
        <v>59</v>
      </c>
      <c r="C753" t="inlineStr">
        <is>
          <t>@杨春玉</t>
        </is>
      </c>
      <c r="D753"/>
      <c r="E753"/>
      <c r="F753" t="inlineStr">
        <is>
          <t>@陈佳杰</t>
        </is>
      </c>
      <c r="G753"/>
      <c r="H753"/>
      <c r="I753">
        <v>4</v>
      </c>
      <c r="J753" t="inlineStr">
        <is>
          <t>Verify that the score increases correctly when collecting scrolls</t>
        </is>
      </c>
      <c r="K753" t="inlineStr">
        <is>
          <t>确认收集卷轴后分数正确增加</t>
        </is>
      </c>
      <c r="L753" s="2" t="str">
        <f>=HYPERLINK("https://atoms.dev/chat/f08c89d9be4a4936a9ffa33a4074c0ca", "https://atoms.dev/chat/f08c89d9be4a4936a9ffa33a4074c0ca")</f>
        <v>https://atoms.dev/chat/f08c89d9be4a4936a9ffa33a4074c0ca</v>
      </c>
      <c r="M753" s="2"/>
      <c r="N753" s="2" t="str">
        <f>=HYPERLINK("http://press_test10@mgx.dev", "press_test10@mgx.dev")</f>
        <v>press_test10@mgx.dev</v>
      </c>
      <c r="O753" t="inlineStr">
        <is>
          <t>f08c89d9be4a4936a9ffa33a4074c0ca</t>
        </is>
      </c>
    </row>
    <row r="754" ht="25.5" customHeight="1">
      <c r="A754" t="inlineStr">
        <is>
          <t>Theme Game Mod</t>
        </is>
      </c>
      <c r="B754">
        <v>59</v>
      </c>
      <c r="C754" t="inlineStr">
        <is>
          <t>@杨春玉</t>
        </is>
      </c>
      <c r="D754"/>
      <c r="E754"/>
      <c r="F754" t="inlineStr">
        <is>
          <t>@陈佳杰</t>
        </is>
      </c>
      <c r="G754"/>
      <c r="H754"/>
      <c r="I754">
        <v>5</v>
      </c>
      <c r="J754" t="inlineStr">
        <is>
          <t>Check if the score display is visible and legible throughout the game</t>
        </is>
      </c>
      <c r="K754" t="inlineStr">
        <is>
          <t>检查分数展示区域在游戏全程可见且清晰</t>
        </is>
      </c>
      <c r="L754" s="2" t="str">
        <f>=HYPERLINK("https://atoms.dev/chat/f08c89d9be4a4936a9ffa33a4074c0ca", "https://atoms.dev/chat/f08c89d9be4a4936a9ffa33a4074c0ca")</f>
        <v>https://atoms.dev/chat/f08c89d9be4a4936a9ffa33a4074c0ca</v>
      </c>
      <c r="M754" s="2"/>
      <c r="N754" s="2" t="str">
        <f>=HYPERLINK("http://press_test10@mgx.dev", "press_test10@mgx.dev")</f>
        <v>press_test10@mgx.dev</v>
      </c>
      <c r="O754" t="inlineStr">
        <is>
          <t>f08c89d9be4a4936a9ffa33a4074c0ca</t>
        </is>
      </c>
    </row>
    <row r="755" ht="25.5" customHeight="1">
      <c r="A755" t="inlineStr">
        <is>
          <t>Mini Card Game</t>
        </is>
      </c>
      <c r="B755">
        <v>60</v>
      </c>
      <c r="C755" t="inlineStr">
        <is>
          <t>@杨春玉</t>
        </is>
      </c>
      <c r="D755">
        <v>1</v>
      </c>
      <c r="E755"/>
      <c r="F755" t="inlineStr">
        <is>
          <t>@陈佳杰</t>
        </is>
      </c>
      <c r="G755">
        <v>1</v>
      </c>
      <c r="H755"/>
      <c r="I755">
        <v>1</v>
      </c>
      <c r="J755" t="inlineStr">
        <is>
          <t>Verify that the card display interface is visible on the webpage</t>
        </is>
      </c>
      <c r="K755" t="inlineStr">
        <is>
          <t>验证网页上展示卡片展示界面</t>
        </is>
      </c>
      <c r="L755" s="2" t="str">
        <f>=HYPERLINK("http://pre.mgx.dev/chat/d1fa083ec9a94315ba6d3d840ed7012b", "http://pre.mgx.dev/chat/d1fa083ec9a94315ba6d3d840ed7012b")</f>
        <v>http://pre.mgx.dev/chat/d1fa083ec9a94315ba6d3d840ed7012b</v>
      </c>
      <c r="M755" s="2" t="str">
        <f>=HYPERLINK("", "https://45753-d1fa083ec9a94315ba6d3d840ed7012b-3-latest.app.beta.mgx.dev")</f>
        <v>https://45753-d1fa083ec9a94315ba6d3d840ed7012b-3-latest.app.beta.mgx.dev</v>
      </c>
      <c r="N755" s="2" t="str">
        <f>=HYPERLINK("mailto:eval_43@auto.com", "eval_43@auto.com")</f>
        <v>eval_43@auto.com</v>
      </c>
      <c r="O755" t="inlineStr">
        <is>
          <t>d1fa083ec9a94315ba6d3d840ed7012b</t>
        </is>
      </c>
    </row>
    <row r="756" ht="25.5" customHeight="1">
      <c r="A756" t="inlineStr">
        <is>
          <t>Mini Card Game</t>
        </is>
      </c>
      <c r="B756">
        <v>60</v>
      </c>
      <c r="C756" t="inlineStr">
        <is>
          <t>@杨春玉</t>
        </is>
      </c>
      <c r="D756">
        <v>1</v>
      </c>
      <c r="E756"/>
      <c r="F756" t="inlineStr">
        <is>
          <t>@陈佳杰</t>
        </is>
      </c>
      <c r="G756">
        <v>1</v>
      </c>
      <c r="H756"/>
      <c r="I756">
        <v>2</v>
      </c>
      <c r="J756" t="inlineStr">
        <is>
          <t>Check if cards are properly displayed with correct images and information</t>
        </is>
      </c>
      <c r="K756" t="inlineStr">
        <is>
          <t>检查卡片正常展示，图片和信息准确</t>
        </is>
      </c>
      <c r="L756" s="2" t="str">
        <f>=HYPERLINK("http://pre.mgx.dev/chat/d1fa083ec9a94315ba6d3d840ed7012b", "http://pre.mgx.dev/chat/d1fa083ec9a94315ba6d3d840ed7012b")</f>
        <v>http://pre.mgx.dev/chat/d1fa083ec9a94315ba6d3d840ed7012b</v>
      </c>
      <c r="M756" s="2" t="str">
        <f>=HYPERLINK("", "https://45753-d1fa083ec9a94315ba6d3d840ed7012b-3-latest.app.beta.mgx.dev")</f>
        <v>https://45753-d1fa083ec9a94315ba6d3d840ed7012b-3-latest.app.beta.mgx.dev</v>
      </c>
      <c r="N756" s="2" t="str">
        <f>=HYPERLINK("mailto:eval_43@auto.com", "eval_43@auto.com")</f>
        <v>eval_43@auto.com</v>
      </c>
      <c r="O756" t="inlineStr">
        <is>
          <t>d1fa083ec9a94315ba6d3d840ed7012b</t>
        </is>
      </c>
    </row>
    <row r="757" ht="25.5" customHeight="1">
      <c r="A757" t="inlineStr">
        <is>
          <t>Mini Card Game</t>
        </is>
      </c>
      <c r="B757">
        <v>60</v>
      </c>
      <c r="C757" t="inlineStr">
        <is>
          <t>@杨春玉</t>
        </is>
      </c>
      <c r="D757">
        <v>1</v>
      </c>
      <c r="E757"/>
      <c r="F757" t="inlineStr">
        <is>
          <t>@陈佳杰</t>
        </is>
      </c>
      <c r="G757">
        <v>1</v>
      </c>
      <c r="H757"/>
      <c r="I757">
        <v>3</v>
      </c>
      <c r="J757" t="inlineStr">
        <is>
          <t>Verify that the matchmaking system initiates a game when requested</t>
        </is>
      </c>
      <c r="K757" t="inlineStr">
        <is>
          <t>验证匹配系统接收到请求后启动游戏</t>
        </is>
      </c>
      <c r="L757" s="2" t="str">
        <f>=HYPERLINK("http://pre.mgx.dev/chat/d1fa083ec9a94315ba6d3d840ed7012b", "http://pre.mgx.dev/chat/d1fa083ec9a94315ba6d3d840ed7012b")</f>
        <v>http://pre.mgx.dev/chat/d1fa083ec9a94315ba6d3d840ed7012b</v>
      </c>
      <c r="M757" s="2" t="str">
        <f>=HYPERLINK("", "https://45753-d1fa083ec9a94315ba6d3d840ed7012b-3-latest.app.beta.mgx.dev")</f>
        <v>https://45753-d1fa083ec9a94315ba6d3d840ed7012b-3-latest.app.beta.mgx.dev</v>
      </c>
      <c r="N757" s="2" t="str">
        <f>=HYPERLINK("mailto:eval_43@auto.com", "eval_43@auto.com")</f>
        <v>eval_43@auto.com</v>
      </c>
      <c r="O757" t="inlineStr">
        <is>
          <t>d1fa083ec9a94315ba6d3d840ed7012b</t>
        </is>
      </c>
    </row>
    <row r="758" ht="25.5" customHeight="1">
      <c r="A758" t="inlineStr">
        <is>
          <t>Mini Card Game</t>
        </is>
      </c>
      <c r="B758">
        <v>60</v>
      </c>
      <c r="C758" t="inlineStr">
        <is>
          <t>@杨春玉</t>
        </is>
      </c>
      <c r="D758">
        <v>1</v>
      </c>
      <c r="E758"/>
      <c r="F758" t="inlineStr">
        <is>
          <t>@陈佳杰</t>
        </is>
      </c>
      <c r="G758">
        <v>1</v>
      </c>
      <c r="H758"/>
      <c r="I758">
        <v>4</v>
      </c>
      <c r="J758" t="inlineStr">
        <is>
          <t>Test if the matchmaking system pairs the player with an AI opponent</t>
        </is>
      </c>
      <c r="K758" t="inlineStr">
        <is>
          <t>测试匹配系统将玩家与AI对手配对</t>
        </is>
      </c>
      <c r="L758" s="2" t="str">
        <f>=HYPERLINK("http://pre.mgx.dev/chat/d1fa083ec9a94315ba6d3d840ed7012b", "http://pre.mgx.dev/chat/d1fa083ec9a94315ba6d3d840ed7012b")</f>
        <v>http://pre.mgx.dev/chat/d1fa083ec9a94315ba6d3d840ed7012b</v>
      </c>
      <c r="M758" s="2" t="str">
        <f>=HYPERLINK("", "https://45753-d1fa083ec9a94315ba6d3d840ed7012b-3-latest.app.beta.mgx.dev")</f>
        <v>https://45753-d1fa083ec9a94315ba6d3d840ed7012b-3-latest.app.beta.mgx.dev</v>
      </c>
      <c r="N758" s="2" t="str">
        <f>=HYPERLINK("mailto:eval_43@auto.com", "eval_43@auto.com")</f>
        <v>eval_43@auto.com</v>
      </c>
      <c r="O758" t="inlineStr">
        <is>
          <t>d1fa083ec9a94315ba6d3d840ed7012b</t>
        </is>
      </c>
    </row>
    <row r="759" ht="25.5" customHeight="1">
      <c r="A759" t="inlineStr">
        <is>
          <t>Mini Card Game</t>
        </is>
      </c>
      <c r="B759">
        <v>60</v>
      </c>
      <c r="C759" t="inlineStr">
        <is>
          <t>@杨春玉</t>
        </is>
      </c>
      <c r="D759">
        <v>1</v>
      </c>
      <c r="E759"/>
      <c r="F759" t="inlineStr">
        <is>
          <t>@陈佳杰</t>
        </is>
      </c>
      <c r="G759">
        <v>1</v>
      </c>
      <c r="H759"/>
      <c r="I759">
        <v>5</v>
      </c>
      <c r="J759" t="inlineStr">
        <is>
          <t>Check if the matchmaking system prevents starting a new game while one is in progress</t>
        </is>
      </c>
      <c r="K759" t="inlineStr">
        <is>
          <t>检查匹配系统在游戏进行中阻止开启新游戏</t>
        </is>
      </c>
      <c r="L759" s="2" t="str">
        <f>=HYPERLINK("http://pre.mgx.dev/chat/d1fa083ec9a94315ba6d3d840ed7012b", "http://pre.mgx.dev/chat/d1fa083ec9a94315ba6d3d840ed7012b")</f>
        <v>http://pre.mgx.dev/chat/d1fa083ec9a94315ba6d3d840ed7012b</v>
      </c>
      <c r="M759" s="2" t="str">
        <f>=HYPERLINK("", "https://45753-d1fa083ec9a94315ba6d3d840ed7012b-3-latest.app.beta.mgx.dev")</f>
        <v>https://45753-d1fa083ec9a94315ba6d3d840ed7012b-3-latest.app.beta.mgx.dev</v>
      </c>
      <c r="N759" s="2" t="str">
        <f>=HYPERLINK("mailto:eval_43@auto.com", "eval_43@auto.com")</f>
        <v>eval_43@auto.com</v>
      </c>
      <c r="O759" t="inlineStr">
        <is>
          <t>d1fa083ec9a94315ba6d3d840ed7012b</t>
        </is>
      </c>
    </row>
    <row r="760" ht="25.5" customHeight="1">
      <c r="A760" t="inlineStr">
        <is>
          <t>Mini Card Game</t>
        </is>
      </c>
      <c r="B760">
        <v>60</v>
      </c>
      <c r="C760" t="inlineStr">
        <is>
          <t>@杨春玉</t>
        </is>
      </c>
      <c r="D760">
        <v>1</v>
      </c>
      <c r="E760"/>
      <c r="F760" t="inlineStr">
        <is>
          <t>@陈佳杰</t>
        </is>
      </c>
      <c r="G760">
        <v>1</v>
      </c>
      <c r="H760"/>
      <c r="I760">
        <v>6</v>
      </c>
      <c r="J760" t="inlineStr">
        <is>
          <t>Verify that the AI opponent makes moves during its turn</t>
        </is>
      </c>
      <c r="K760" t="inlineStr">
        <is>
          <t>验证AI对手在其回合内做出操作</t>
        </is>
      </c>
      <c r="L760" s="2" t="str">
        <f>=HYPERLINK("http://pre.mgx.dev/chat/d1fa083ec9a94315ba6d3d840ed7012b", "http://pre.mgx.dev/chat/d1fa083ec9a94315ba6d3d840ed7012b")</f>
        <v>http://pre.mgx.dev/chat/d1fa083ec9a94315ba6d3d840ed7012b</v>
      </c>
      <c r="M760" s="2" t="str">
        <f>=HYPERLINK("", "https://45753-d1fa083ec9a94315ba6d3d840ed7012b-3-latest.app.beta.mgx.dev")</f>
        <v>https://45753-d1fa083ec9a94315ba6d3d840ed7012b-3-latest.app.beta.mgx.dev</v>
      </c>
      <c r="N760" s="2" t="str">
        <f>=HYPERLINK("mailto:eval_43@auto.com", "eval_43@auto.com")</f>
        <v>eval_43@auto.com</v>
      </c>
      <c r="O760" t="inlineStr">
        <is>
          <t>d1fa083ec9a94315ba6d3d840ed7012b</t>
        </is>
      </c>
    </row>
    <row r="761" ht="25.5" customHeight="1">
      <c r="A761" t="inlineStr">
        <is>
          <t>Mini Card Game</t>
        </is>
      </c>
      <c r="B761">
        <v>60</v>
      </c>
      <c r="C761" t="inlineStr">
        <is>
          <t>@杨春玉</t>
        </is>
      </c>
      <c r="D761">
        <v>1</v>
      </c>
      <c r="E761"/>
      <c r="F761" t="inlineStr">
        <is>
          <t>@陈佳杰</t>
        </is>
      </c>
      <c r="G761">
        <v>1</v>
      </c>
      <c r="H761"/>
      <c r="I761">
        <v>7</v>
      </c>
      <c r="J761" t="inlineStr">
        <is>
          <t>Verify that the turn counter is visible on the screen</t>
        </is>
      </c>
      <c r="K761" t="inlineStr">
        <is>
          <t>验证屏幕上可见回合计数器</t>
        </is>
      </c>
      <c r="L761" s="2" t="str">
        <f>=HYPERLINK("http://pre.mgx.dev/chat/d1fa083ec9a94315ba6d3d840ed7012b", "http://pre.mgx.dev/chat/d1fa083ec9a94315ba6d3d840ed7012b")</f>
        <v>http://pre.mgx.dev/chat/d1fa083ec9a94315ba6d3d840ed7012b</v>
      </c>
      <c r="M761" s="2" t="str">
        <f>=HYPERLINK("", "https://45753-d1fa083ec9a94315ba6d3d840ed7012b-3-latest.app.beta.mgx.dev")</f>
        <v>https://45753-d1fa083ec9a94315ba6d3d840ed7012b-3-latest.app.beta.mgx.dev</v>
      </c>
      <c r="N761" s="2" t="str">
        <f>=HYPERLINK("mailto:eval_43@auto.com", "eval_43@auto.com")</f>
        <v>eval_43@auto.com</v>
      </c>
      <c r="O761" t="inlineStr">
        <is>
          <t>d1fa083ec9a94315ba6d3d840ed7012b</t>
        </is>
      </c>
    </row>
    <row r="762" ht="25.5" customHeight="1">
      <c r="A762" t="inlineStr">
        <is>
          <t>Mini Card Game</t>
        </is>
      </c>
      <c r="B762">
        <v>60</v>
      </c>
      <c r="C762" t="inlineStr">
        <is>
          <t>@杨春玉</t>
        </is>
      </c>
      <c r="D762">
        <v>1</v>
      </c>
      <c r="E762"/>
      <c r="F762" t="inlineStr">
        <is>
          <t>@陈佳杰</t>
        </is>
      </c>
      <c r="G762">
        <v>1</v>
      </c>
      <c r="H762"/>
      <c r="I762">
        <v>8</v>
      </c>
      <c r="J762" t="inlineStr">
        <is>
          <t>Test if the turn counter increments correctly after each player's move</t>
        </is>
      </c>
      <c r="K762" t="inlineStr">
        <is>
          <t>测试每位玩家行动后回合计数器正确递增</t>
        </is>
      </c>
      <c r="L762" s="2" t="str">
        <f>=HYPERLINK("http://pre.mgx.dev/chat/d1fa083ec9a94315ba6d3d840ed7012b", "http://pre.mgx.dev/chat/d1fa083ec9a94315ba6d3d840ed7012b")</f>
        <v>http://pre.mgx.dev/chat/d1fa083ec9a94315ba6d3d840ed7012b</v>
      </c>
      <c r="M762" s="2" t="str">
        <f>=HYPERLINK("", "https://45753-d1fa083ec9a94315ba6d3d840ed7012b-3-latest.app.beta.mgx.dev")</f>
        <v>https://45753-d1fa083ec9a94315ba6d3d840ed7012b-3-latest.app.beta.mgx.dev</v>
      </c>
      <c r="N762" s="2" t="str">
        <f>=HYPERLINK("mailto:eval_43@auto.com", "eval_43@auto.com")</f>
        <v>eval_43@auto.com</v>
      </c>
      <c r="O762" t="inlineStr">
        <is>
          <t>d1fa083ec9a94315ba6d3d840ed7012b</t>
        </is>
      </c>
    </row>
    <row r="763" ht="25.5" customHeight="1">
      <c r="A763" t="inlineStr">
        <is>
          <t>Mini Card Game</t>
        </is>
      </c>
      <c r="B763">
        <v>60</v>
      </c>
      <c r="C763" t="inlineStr">
        <is>
          <t>@杨春玉</t>
        </is>
      </c>
      <c r="D763">
        <v>1</v>
      </c>
      <c r="E763"/>
      <c r="F763" t="inlineStr">
        <is>
          <t>@陈佳杰</t>
        </is>
      </c>
      <c r="G763">
        <v>1</v>
      </c>
      <c r="H763"/>
      <c r="I763">
        <v>9</v>
      </c>
      <c r="J763" t="inlineStr">
        <is>
          <t>Check if the turn counter resets to 1 when a new game starts</t>
        </is>
      </c>
      <c r="K763" t="inlineStr">
        <is>
          <t>检查新游戏开始时回合计数器重置为1</t>
        </is>
      </c>
      <c r="L763" s="2" t="str">
        <f>=HYPERLINK("http://pre.mgx.dev/chat/d1fa083ec9a94315ba6d3d840ed7012b", "http://pre.mgx.dev/chat/d1fa083ec9a94315ba6d3d840ed7012b")</f>
        <v>http://pre.mgx.dev/chat/d1fa083ec9a94315ba6d3d840ed7012b</v>
      </c>
      <c r="M763" s="2" t="str">
        <f>=HYPERLINK("", "https://45753-d1fa083ec9a94315ba6d3d840ed7012b-3-latest.app.beta.mgx.dev")</f>
        <v>https://45753-d1fa083ec9a94315ba6d3d840ed7012b-3-latest.app.beta.mgx.dev</v>
      </c>
      <c r="N763" s="2" t="str">
        <f>=HYPERLINK("mailto:eval_43@auto.com", "eval_43@auto.com")</f>
        <v>eval_43@auto.com</v>
      </c>
      <c r="O763" t="inlineStr">
        <is>
          <t>d1fa083ec9a94315ba6d3d840ed7012b</t>
        </is>
      </c>
    </row>
    <row r="764" ht="25.5" customHeight="1">
      <c r="A764" t="inlineStr">
        <is>
          <t>Mini Card Game</t>
        </is>
      </c>
      <c r="B764">
        <v>60</v>
      </c>
      <c r="C764" t="inlineStr">
        <is>
          <t>@杨春玉</t>
        </is>
      </c>
      <c r="D764">
        <v>1</v>
      </c>
      <c r="E764"/>
      <c r="F764" t="inlineStr">
        <is>
          <t>@陈佳杰</t>
        </is>
      </c>
      <c r="G764">
        <v>1</v>
      </c>
      <c r="H764"/>
      <c r="I764">
        <v>10</v>
      </c>
      <c r="J764" t="inlineStr">
        <is>
          <t>Verify that the game correctly determines the winner and loser</t>
        </is>
      </c>
      <c r="K764" t="inlineStr">
        <is>
          <t>验证游戏正确判定胜负</t>
        </is>
      </c>
      <c r="L764" s="2" t="str">
        <f>=HYPERLINK("http://pre.mgx.dev/chat/d1fa083ec9a94315ba6d3d840ed7012b", "http://pre.mgx.dev/chat/d1fa083ec9a94315ba6d3d840ed7012b")</f>
        <v>http://pre.mgx.dev/chat/d1fa083ec9a94315ba6d3d840ed7012b</v>
      </c>
      <c r="M764" s="2" t="str">
        <f>=HYPERLINK("", "https://45753-d1fa083ec9a94315ba6d3d840ed7012b-3-latest.app.beta.mgx.dev")</f>
        <v>https://45753-d1fa083ec9a94315ba6d3d840ed7012b-3-latest.app.beta.mgx.dev</v>
      </c>
      <c r="N764" s="2" t="str">
        <f>=HYPERLINK("mailto:eval_43@auto.com", "eval_43@auto.com")</f>
        <v>eval_43@auto.com</v>
      </c>
      <c r="O764" t="inlineStr">
        <is>
          <t>d1fa083ec9a94315ba6d3d840ed7012b</t>
        </is>
      </c>
    </row>
    <row r="765" ht="25.5" customHeight="1">
      <c r="A765" t="inlineStr">
        <is>
          <t>Mini Card Game</t>
        </is>
      </c>
      <c r="B765">
        <v>60</v>
      </c>
      <c r="C765" t="inlineStr">
        <is>
          <t>@杨春玉</t>
        </is>
      </c>
      <c r="D765">
        <v>0</v>
      </c>
      <c r="E765" t="inlineStr">
        <is>
          <t>无法正常结束游戏，第二轮游戏AI一直thinking</t>
        </is>
      </c>
      <c r="F765" t="inlineStr">
        <is>
          <t>@陈佳杰</t>
        </is>
      </c>
      <c r="G765">
        <v>0</v>
      </c>
      <c r="H765" t="inlineStr">
        <is>
          <t>无法正常结束游戏，第二轮游戏AI一直thinking</t>
        </is>
      </c>
      <c r="I765">
        <v>11</v>
      </c>
      <c r="J765" t="inlineStr">
        <is>
          <t>Test if the game ends when appropriate conditions are met</t>
        </is>
      </c>
      <c r="K765" t="inlineStr">
        <is>
          <t>测试满足相应条件后游戏结束</t>
        </is>
      </c>
      <c r="L765" s="2" t="str">
        <f>=HYPERLINK("http://pre.mgx.dev/chat/d1fa083ec9a94315ba6d3d840ed7012b", "http://pre.mgx.dev/chat/d1fa083ec9a94315ba6d3d840ed7012b")</f>
        <v>http://pre.mgx.dev/chat/d1fa083ec9a94315ba6d3d840ed7012b</v>
      </c>
      <c r="M765" s="2" t="str">
        <f>=HYPERLINK("", "https://45753-d1fa083ec9a94315ba6d3d840ed7012b-3-latest.app.beta.mgx.dev")</f>
        <v>https://45753-d1fa083ec9a94315ba6d3d840ed7012b-3-latest.app.beta.mgx.dev</v>
      </c>
      <c r="N765" s="2" t="str">
        <f>=HYPERLINK("mailto:eval_43@auto.com", "eval_43@auto.com")</f>
        <v>eval_43@auto.com</v>
      </c>
      <c r="O765" t="inlineStr">
        <is>
          <t>d1fa083ec9a94315ba6d3d840ed7012b</t>
        </is>
      </c>
    </row>
    <row r="766" ht="25.5" customHeight="1">
      <c r="A766" t="inlineStr">
        <is>
          <t>Mini Card Game</t>
        </is>
      </c>
      <c r="B766">
        <v>60</v>
      </c>
      <c r="C766" t="inlineStr">
        <is>
          <t>@杨春玉</t>
        </is>
      </c>
      <c r="D766">
        <v>1</v>
      </c>
      <c r="E766"/>
      <c r="F766" t="inlineStr">
        <is>
          <t>@陈佳杰</t>
        </is>
      </c>
      <c r="G766">
        <v>1</v>
      </c>
      <c r="H766"/>
      <c r="I766">
        <v>12</v>
      </c>
      <c r="J766" t="inlineStr">
        <is>
          <t>Check if the win/loss result is displayed clearly on the screen</t>
        </is>
      </c>
      <c r="K766" t="inlineStr">
        <is>
          <t>检查胜负结果在屏幕上清晰展示</t>
        </is>
      </c>
      <c r="L766" s="2" t="str">
        <f>=HYPERLINK("http://pre.mgx.dev/chat/d1fa083ec9a94315ba6d3d840ed7012b", "http://pre.mgx.dev/chat/d1fa083ec9a94315ba6d3d840ed7012b")</f>
        <v>http://pre.mgx.dev/chat/d1fa083ec9a94315ba6d3d840ed7012b</v>
      </c>
      <c r="M766" s="2" t="str">
        <f>=HYPERLINK("", "https://45753-d1fa083ec9a94315ba6d3d840ed7012b-3-latest.app.beta.mgx.dev")</f>
        <v>https://45753-d1fa083ec9a94315ba6d3d840ed7012b-3-latest.app.beta.mgx.dev</v>
      </c>
      <c r="N766" s="2" t="str">
        <f>=HYPERLINK("mailto:eval_43@auto.com", "eval_43@auto.com")</f>
        <v>eval_43@auto.com</v>
      </c>
      <c r="O766" t="inlineStr">
        <is>
          <t>d1fa083ec9a94315ba6d3d840ed7012b</t>
        </is>
      </c>
    </row>
    <row r="767" ht="25.5" customHeight="1">
      <c r="A767" t="inlineStr">
        <is>
          <t>Mini Card Game</t>
        </is>
      </c>
      <c r="B767">
        <v>60</v>
      </c>
      <c r="C767" t="inlineStr">
        <is>
          <t>@杨春玉</t>
        </is>
      </c>
      <c r="D767">
        <v>0</v>
      </c>
      <c r="E767" t="inlineStr">
        <is>
          <t>无法正常结束游戏，第二轮游戏AI一直thinking</t>
        </is>
      </c>
      <c r="F767" t="inlineStr">
        <is>
          <t>@陈佳杰</t>
        </is>
      </c>
      <c r="G767">
        <v>0</v>
      </c>
      <c r="H767" t="inlineStr">
        <is>
          <t>无法正常结束游戏，第二轮游戏AI一直thinking</t>
        </is>
      </c>
      <c r="I767">
        <v>13</v>
      </c>
      <c r="J767" t="inlineStr">
        <is>
          <t>Verify that the replay button is visible after a game ends</t>
        </is>
      </c>
      <c r="K767" t="inlineStr">
        <is>
          <t>验证游戏结束后可见重新开始按钮</t>
        </is>
      </c>
      <c r="L767" s="2" t="str">
        <f>=HYPERLINK("http://pre.mgx.dev/chat/d1fa083ec9a94315ba6d3d840ed7012b", "http://pre.mgx.dev/chat/d1fa083ec9a94315ba6d3d840ed7012b")</f>
        <v>http://pre.mgx.dev/chat/d1fa083ec9a94315ba6d3d840ed7012b</v>
      </c>
      <c r="M767" s="2" t="str">
        <f>=HYPERLINK("", "https://45753-d1fa083ec9a94315ba6d3d840ed7012b-3-latest.app.beta.mgx.dev")</f>
        <v>https://45753-d1fa083ec9a94315ba6d3d840ed7012b-3-latest.app.beta.mgx.dev</v>
      </c>
      <c r="N767" s="2" t="str">
        <f>=HYPERLINK("mailto:eval_43@auto.com", "eval_43@auto.com")</f>
        <v>eval_43@auto.com</v>
      </c>
      <c r="O767" t="inlineStr">
        <is>
          <t>d1fa083ec9a94315ba6d3d840ed7012b</t>
        </is>
      </c>
    </row>
    <row r="768" ht="25.5" customHeight="1">
      <c r="A768" t="inlineStr">
        <is>
          <t>Mini Card Game</t>
        </is>
      </c>
      <c r="B768">
        <v>60</v>
      </c>
      <c r="C768" t="inlineStr">
        <is>
          <t>@杨春玉</t>
        </is>
      </c>
      <c r="D768">
        <v>0</v>
      </c>
      <c r="E768" t="inlineStr">
        <is>
          <t>无法正常结束游戏，第二轮游戏AI一直thinking</t>
        </is>
      </c>
      <c r="F768" t="inlineStr">
        <is>
          <t>@陈佳杰</t>
        </is>
      </c>
      <c r="G768">
        <v>0</v>
      </c>
      <c r="H768" t="inlineStr">
        <is>
          <t>无法正常结束游戏，第二轮游戏AI一直thinking</t>
        </is>
      </c>
      <c r="I768">
        <v>14</v>
      </c>
      <c r="J768" t="inlineStr">
        <is>
          <t>Test if clicking the replay button starts a new game</t>
        </is>
      </c>
      <c r="K768" t="inlineStr">
        <is>
          <t>测试点击重新开始按钮可开启新游戏</t>
        </is>
      </c>
      <c r="L768" s="2" t="str">
        <f>=HYPERLINK("http://pre.mgx.dev/chat/d1fa083ec9a94315ba6d3d840ed7012b", "http://pre.mgx.dev/chat/d1fa083ec9a94315ba6d3d840ed7012b")</f>
        <v>http://pre.mgx.dev/chat/d1fa083ec9a94315ba6d3d840ed7012b</v>
      </c>
      <c r="M768" s="2" t="str">
        <f>=HYPERLINK("", "https://45753-d1fa083ec9a94315ba6d3d840ed7012b-3-latest.app.beta.mgx.dev")</f>
        <v>https://45753-d1fa083ec9a94315ba6d3d840ed7012b-3-latest.app.beta.mgx.dev</v>
      </c>
      <c r="N768" s="2" t="str">
        <f>=HYPERLINK("mailto:eval_43@auto.com", "eval_43@auto.com")</f>
        <v>eval_43@auto.com</v>
      </c>
      <c r="O768" t="inlineStr">
        <is>
          <t>d1fa083ec9a94315ba6d3d840ed7012b</t>
        </is>
      </c>
    </row>
    <row r="769" ht="25.5" customHeight="1">
      <c r="A769" t="inlineStr">
        <is>
          <t>Mini Card Game</t>
        </is>
      </c>
      <c r="B769">
        <v>60</v>
      </c>
      <c r="C769" t="inlineStr">
        <is>
          <t>@杨春玉</t>
        </is>
      </c>
      <c r="D769">
        <v>1</v>
      </c>
      <c r="E769"/>
      <c r="F769" t="inlineStr">
        <is>
          <t>@陈佳杰</t>
        </is>
      </c>
      <c r="G769">
        <v>0</v>
      </c>
      <c r="H769" t="inlineStr">
        <is>
          <t>ai 思考的时候，缺少按键</t>
        </is>
      </c>
      <c r="I769">
        <v>15</v>
      </c>
      <c r="J769" t="inlineStr">
        <is>
          <t>Check if the replay button is disabled during an ongoing game</t>
        </is>
      </c>
      <c r="K769" t="inlineStr">
        <is>
          <t>检查游戏进行中重新开始按钮为禁用状态</t>
        </is>
      </c>
      <c r="L769" s="2" t="str">
        <f>=HYPERLINK("http://pre.mgx.dev/chat/d1fa083ec9a94315ba6d3d840ed7012b", "http://pre.mgx.dev/chat/d1fa083ec9a94315ba6d3d840ed7012b")</f>
        <v>http://pre.mgx.dev/chat/d1fa083ec9a94315ba6d3d840ed7012b</v>
      </c>
      <c r="M769" s="2" t="str">
        <f>=HYPERLINK("", "https://45753-d1fa083ec9a94315ba6d3d840ed7012b-3-latest.app.beta.mgx.dev")</f>
        <v>https://45753-d1fa083ec9a94315ba6d3d840ed7012b-3-latest.app.beta.mgx.dev</v>
      </c>
      <c r="N769" s="2" t="str">
        <f>=HYPERLINK("mailto:eval_43@auto.com", "eval_43@auto.com")</f>
        <v>eval_43@auto.com</v>
      </c>
      <c r="O769" t="inlineStr">
        <is>
          <t>d1fa083ec9a94315ba6d3d840ed7012b</t>
        </is>
      </c>
    </row>
    <row r="770" ht="25.5" customHeight="1">
      <c r="A770" t="inlineStr">
        <is>
          <t>Two Player Game</t>
        </is>
      </c>
      <c r="B770">
        <v>61</v>
      </c>
      <c r="C770" t="inlineStr">
        <is>
          <t>@杨春玉</t>
        </is>
      </c>
      <c r="D770"/>
      <c r="E770"/>
      <c r="F770" t="inlineStr">
        <is>
          <t>@陈佳杰</t>
        </is>
      </c>
      <c r="G770"/>
      <c r="H770"/>
      <c r="I770">
        <v>1</v>
      </c>
      <c r="J770" t="inlineStr">
        <is>
          <t>Verify player 1 controls move tetromino left</t>
        </is>
      </c>
      <c r="K770" t="inlineStr">
        <is>
          <t>验证玩家1的操控可向左移动方块</t>
        </is>
      </c>
      <c r="L770" s="2" t="str">
        <f>=HYPERLINK("https://atoms.dev/chat/5461f0b9d820422ebdb36a12a2861905", "https://atoms.dev/chat/5461f0b9d820422ebdb36a12a2861905")</f>
        <v>https://atoms.dev/chat/5461f0b9d820422ebdb36a12a2861905</v>
      </c>
      <c r="M770" s="2"/>
      <c r="N770" s="2" t="str">
        <f>=HYPERLINK("http://press_test3@mgx.dev", "press_test3@mgx.dev")</f>
        <v>press_test3@mgx.dev</v>
      </c>
      <c r="O770" t="inlineStr">
        <is>
          <t>5461f0b9d820422ebdb36a12a2861905</t>
        </is>
      </c>
    </row>
    <row r="771" ht="25.5" customHeight="1">
      <c r="A771" t="inlineStr">
        <is>
          <t>Two Player Game</t>
        </is>
      </c>
      <c r="B771">
        <v>61</v>
      </c>
      <c r="C771" t="inlineStr">
        <is>
          <t>@杨春玉</t>
        </is>
      </c>
      <c r="D771"/>
      <c r="E771"/>
      <c r="F771" t="inlineStr">
        <is>
          <t>@陈佳杰</t>
        </is>
      </c>
      <c r="G771"/>
      <c r="H771"/>
      <c r="I771">
        <v>2</v>
      </c>
      <c r="J771" t="inlineStr">
        <is>
          <t>Verify player 1 controls move tetromino right</t>
        </is>
      </c>
      <c r="K771" t="inlineStr">
        <is>
          <t>验证玩家1的操控可向右移动方块</t>
        </is>
      </c>
      <c r="L771" s="2" t="str">
        <f>=HYPERLINK("https://atoms.dev/chat/5461f0b9d820422ebdb36a12a2861905", "https://atoms.dev/chat/5461f0b9d820422ebdb36a12a2861905")</f>
        <v>https://atoms.dev/chat/5461f0b9d820422ebdb36a12a2861905</v>
      </c>
      <c r="M771" s="2"/>
      <c r="N771" s="2" t="str">
        <f>=HYPERLINK("http://press_test3@mgx.dev", "press_test3@mgx.dev")</f>
        <v>press_test3@mgx.dev</v>
      </c>
      <c r="O771" t="inlineStr">
        <is>
          <t>5461f0b9d820422ebdb36a12a2861905</t>
        </is>
      </c>
    </row>
    <row r="772" ht="25.5" customHeight="1">
      <c r="A772" t="inlineStr">
        <is>
          <t>Two Player Game</t>
        </is>
      </c>
      <c r="B772">
        <v>61</v>
      </c>
      <c r="C772" t="inlineStr">
        <is>
          <t>@杨春玉</t>
        </is>
      </c>
      <c r="D772"/>
      <c r="E772"/>
      <c r="F772" t="inlineStr">
        <is>
          <t>@陈佳杰</t>
        </is>
      </c>
      <c r="G772"/>
      <c r="H772"/>
      <c r="I772">
        <v>3</v>
      </c>
      <c r="J772" t="inlineStr">
        <is>
          <t>Verify player 1 controls rotate tetromino</t>
        </is>
      </c>
      <c r="K772" t="inlineStr">
        <is>
          <t>验证玩家1的操控可旋转方块</t>
        </is>
      </c>
      <c r="L772" s="2" t="str">
        <f>=HYPERLINK("https://atoms.dev/chat/5461f0b9d820422ebdb36a12a2861905", "https://atoms.dev/chat/5461f0b9d820422ebdb36a12a2861905")</f>
        <v>https://atoms.dev/chat/5461f0b9d820422ebdb36a12a2861905</v>
      </c>
      <c r="M772" s="2"/>
      <c r="N772" s="2" t="str">
        <f>=HYPERLINK("http://press_test3@mgx.dev", "press_test3@mgx.dev")</f>
        <v>press_test3@mgx.dev</v>
      </c>
      <c r="O772" t="inlineStr">
        <is>
          <t>5461f0b9d820422ebdb36a12a2861905</t>
        </is>
      </c>
    </row>
    <row r="773" ht="25.5" customHeight="1">
      <c r="A773" t="inlineStr">
        <is>
          <t>Two Player Game</t>
        </is>
      </c>
      <c r="B773">
        <v>61</v>
      </c>
      <c r="C773" t="inlineStr">
        <is>
          <t>@杨春玉</t>
        </is>
      </c>
      <c r="D773"/>
      <c r="E773"/>
      <c r="F773" t="inlineStr">
        <is>
          <t>@陈佳杰</t>
        </is>
      </c>
      <c r="G773"/>
      <c r="H773"/>
      <c r="I773">
        <v>4</v>
      </c>
      <c r="J773" t="inlineStr">
        <is>
          <t>Verify player 1 controls drop tetromino</t>
        </is>
      </c>
      <c r="K773" t="inlineStr">
        <is>
          <t>验证玩家1的操控可下落方块</t>
        </is>
      </c>
      <c r="L773" s="2" t="str">
        <f>=HYPERLINK("https://atoms.dev/chat/5461f0b9d820422ebdb36a12a2861905", "https://atoms.dev/chat/5461f0b9d820422ebdb36a12a2861905")</f>
        <v>https://atoms.dev/chat/5461f0b9d820422ebdb36a12a2861905</v>
      </c>
      <c r="M773" s="2"/>
      <c r="N773" s="2" t="str">
        <f>=HYPERLINK("http://press_test3@mgx.dev", "press_test3@mgx.dev")</f>
        <v>press_test3@mgx.dev</v>
      </c>
      <c r="O773" t="inlineStr">
        <is>
          <t>5461f0b9d820422ebdb36a12a2861905</t>
        </is>
      </c>
    </row>
    <row r="774" ht="25.5" customHeight="1">
      <c r="A774" t="inlineStr">
        <is>
          <t>Two Player Game</t>
        </is>
      </c>
      <c r="B774">
        <v>61</v>
      </c>
      <c r="C774" t="inlineStr">
        <is>
          <t>@杨春玉</t>
        </is>
      </c>
      <c r="D774"/>
      <c r="E774"/>
      <c r="F774" t="inlineStr">
        <is>
          <t>@陈佳杰</t>
        </is>
      </c>
      <c r="G774"/>
      <c r="H774"/>
      <c r="I774">
        <v>5</v>
      </c>
      <c r="J774" t="inlineStr">
        <is>
          <t>Verify player 2 controls move tetromino left</t>
        </is>
      </c>
      <c r="K774" t="inlineStr">
        <is>
          <t>验证玩家2的操控可向左移动方块</t>
        </is>
      </c>
      <c r="L774" s="2" t="str">
        <f>=HYPERLINK("https://atoms.dev/chat/5461f0b9d820422ebdb36a12a2861905", "https://atoms.dev/chat/5461f0b9d820422ebdb36a12a2861905")</f>
        <v>https://atoms.dev/chat/5461f0b9d820422ebdb36a12a2861905</v>
      </c>
      <c r="M774" s="2"/>
      <c r="N774" s="2" t="str">
        <f>=HYPERLINK("http://press_test3@mgx.dev", "press_test3@mgx.dev")</f>
        <v>press_test3@mgx.dev</v>
      </c>
      <c r="O774" t="inlineStr">
        <is>
          <t>5461f0b9d820422ebdb36a12a2861905</t>
        </is>
      </c>
    </row>
    <row r="775" ht="25.5" customHeight="1">
      <c r="A775" t="inlineStr">
        <is>
          <t>Two Player Game</t>
        </is>
      </c>
      <c r="B775">
        <v>61</v>
      </c>
      <c r="C775" t="inlineStr">
        <is>
          <t>@杨春玉</t>
        </is>
      </c>
      <c r="D775"/>
      <c r="E775"/>
      <c r="F775" t="inlineStr">
        <is>
          <t>@陈佳杰</t>
        </is>
      </c>
      <c r="G775"/>
      <c r="H775"/>
      <c r="I775">
        <v>6</v>
      </c>
      <c r="J775" t="inlineStr">
        <is>
          <t>Verify player 2 controls move tetromino right</t>
        </is>
      </c>
      <c r="K775" t="inlineStr">
        <is>
          <t>验证玩家2的操控可向右移动方块</t>
        </is>
      </c>
      <c r="L775" s="2" t="str">
        <f>=HYPERLINK("https://atoms.dev/chat/5461f0b9d820422ebdb36a12a2861905", "https://atoms.dev/chat/5461f0b9d820422ebdb36a12a2861905")</f>
        <v>https://atoms.dev/chat/5461f0b9d820422ebdb36a12a2861905</v>
      </c>
      <c r="M775" s="2"/>
      <c r="N775" s="2" t="str">
        <f>=HYPERLINK("http://press_test3@mgx.dev", "press_test3@mgx.dev")</f>
        <v>press_test3@mgx.dev</v>
      </c>
      <c r="O775" t="inlineStr">
        <is>
          <t>5461f0b9d820422ebdb36a12a2861905</t>
        </is>
      </c>
    </row>
    <row r="776" ht="25.5" customHeight="1">
      <c r="A776" t="inlineStr">
        <is>
          <t>Two Player Game</t>
        </is>
      </c>
      <c r="B776">
        <v>61</v>
      </c>
      <c r="C776" t="inlineStr">
        <is>
          <t>@杨春玉</t>
        </is>
      </c>
      <c r="D776"/>
      <c r="E776"/>
      <c r="F776" t="inlineStr">
        <is>
          <t>@陈佳杰</t>
        </is>
      </c>
      <c r="G776"/>
      <c r="H776"/>
      <c r="I776">
        <v>7</v>
      </c>
      <c r="J776" t="inlineStr">
        <is>
          <t>Verify player 2 controls rotate tetromino</t>
        </is>
      </c>
      <c r="K776" t="inlineStr">
        <is>
          <t>验证玩家2的操控可旋转方块</t>
        </is>
      </c>
      <c r="L776" s="2" t="str">
        <f>=HYPERLINK("https://atoms.dev/chat/5461f0b9d820422ebdb36a12a2861905", "https://atoms.dev/chat/5461f0b9d820422ebdb36a12a2861905")</f>
        <v>https://atoms.dev/chat/5461f0b9d820422ebdb36a12a2861905</v>
      </c>
      <c r="M776" s="2"/>
      <c r="N776" s="2" t="str">
        <f>=HYPERLINK("http://press_test3@mgx.dev", "press_test3@mgx.dev")</f>
        <v>press_test3@mgx.dev</v>
      </c>
      <c r="O776" t="inlineStr">
        <is>
          <t>5461f0b9d820422ebdb36a12a2861905</t>
        </is>
      </c>
    </row>
    <row r="777" ht="25.5" customHeight="1">
      <c r="A777" t="inlineStr">
        <is>
          <t>Two Player Game</t>
        </is>
      </c>
      <c r="B777">
        <v>61</v>
      </c>
      <c r="C777" t="inlineStr">
        <is>
          <t>@杨春玉</t>
        </is>
      </c>
      <c r="D777"/>
      <c r="E777"/>
      <c r="F777" t="inlineStr">
        <is>
          <t>@陈佳杰</t>
        </is>
      </c>
      <c r="G777"/>
      <c r="H777"/>
      <c r="I777">
        <v>8</v>
      </c>
      <c r="J777" t="inlineStr">
        <is>
          <t>Verify player 2 controls drop tetromino</t>
        </is>
      </c>
      <c r="K777" t="inlineStr">
        <is>
          <t>验证玩家2的操控可下落方块</t>
        </is>
      </c>
      <c r="L777" s="2" t="str">
        <f>=HYPERLINK("https://atoms.dev/chat/5461f0b9d820422ebdb36a12a2861905", "https://atoms.dev/chat/5461f0b9d820422ebdb36a12a2861905")</f>
        <v>https://atoms.dev/chat/5461f0b9d820422ebdb36a12a2861905</v>
      </c>
      <c r="M777" s="2"/>
      <c r="N777" s="2" t="str">
        <f>=HYPERLINK("http://press_test3@mgx.dev", "press_test3@mgx.dev")</f>
        <v>press_test3@mgx.dev</v>
      </c>
      <c r="O777" t="inlineStr">
        <is>
          <t>5461f0b9d820422ebdb36a12a2861905</t>
        </is>
      </c>
    </row>
    <row r="778" ht="25.5" customHeight="1">
      <c r="A778" t="inlineStr">
        <is>
          <t>Two Player Game</t>
        </is>
      </c>
      <c r="B778">
        <v>61</v>
      </c>
      <c r="C778" t="inlineStr">
        <is>
          <t>@杨春玉</t>
        </is>
      </c>
      <c r="D778"/>
      <c r="E778"/>
      <c r="F778" t="inlineStr">
        <is>
          <t>@陈佳杰</t>
        </is>
      </c>
      <c r="G778"/>
      <c r="H778"/>
      <c r="I778">
        <v>9</v>
      </c>
      <c r="J778" t="inlineStr">
        <is>
          <t>Check if split screen is displayed correctly</t>
        </is>
      </c>
      <c r="K778" t="inlineStr">
        <is>
          <t>检查分屏展示正常</t>
        </is>
      </c>
      <c r="L778" s="2" t="str">
        <f>=HYPERLINK("https://atoms.dev/chat/5461f0b9d820422ebdb36a12a2861905", "https://atoms.dev/chat/5461f0b9d820422ebdb36a12a2861905")</f>
        <v>https://atoms.dev/chat/5461f0b9d820422ebdb36a12a2861905</v>
      </c>
      <c r="M778" s="2"/>
      <c r="N778" s="2" t="str">
        <f>=HYPERLINK("http://press_test3@mgx.dev", "press_test3@mgx.dev")</f>
        <v>press_test3@mgx.dev</v>
      </c>
      <c r="O778" t="inlineStr">
        <is>
          <t>5461f0b9d820422ebdb36a12a2861905</t>
        </is>
      </c>
    </row>
    <row r="779" ht="25.5" customHeight="1">
      <c r="A779" t="inlineStr">
        <is>
          <t>Two Player Game</t>
        </is>
      </c>
      <c r="B779">
        <v>61</v>
      </c>
      <c r="C779" t="inlineStr">
        <is>
          <t>@杨春玉</t>
        </is>
      </c>
      <c r="D779"/>
      <c r="E779"/>
      <c r="F779" t="inlineStr">
        <is>
          <t>@陈佳杰</t>
        </is>
      </c>
      <c r="G779"/>
      <c r="H779"/>
      <c r="I779">
        <v>10</v>
      </c>
      <c r="J779" t="inlineStr">
        <is>
          <t>Verify that player 1's game area is on the left side</t>
        </is>
      </c>
      <c r="K779" t="inlineStr">
        <is>
          <t>验证玩家1的游戏区域在左侧</t>
        </is>
      </c>
      <c r="L779" s="2" t="str">
        <f>=HYPERLINK("https://atoms.dev/chat/5461f0b9d820422ebdb36a12a2861905", "https://atoms.dev/chat/5461f0b9d820422ebdb36a12a2861905")</f>
        <v>https://atoms.dev/chat/5461f0b9d820422ebdb36a12a2861905</v>
      </c>
      <c r="M779" s="2"/>
      <c r="N779" s="2" t="str">
        <f>=HYPERLINK("http://press_test3@mgx.dev", "press_test3@mgx.dev")</f>
        <v>press_test3@mgx.dev</v>
      </c>
      <c r="O779" t="inlineStr">
        <is>
          <t>5461f0b9d820422ebdb36a12a2861905</t>
        </is>
      </c>
    </row>
    <row r="780" ht="25.5" customHeight="1">
      <c r="A780" t="inlineStr">
        <is>
          <t>Two Player Game</t>
        </is>
      </c>
      <c r="B780">
        <v>61</v>
      </c>
      <c r="C780" t="inlineStr">
        <is>
          <t>@杨春玉</t>
        </is>
      </c>
      <c r="D780"/>
      <c r="E780"/>
      <c r="F780" t="inlineStr">
        <is>
          <t>@陈佳杰</t>
        </is>
      </c>
      <c r="G780"/>
      <c r="H780"/>
      <c r="I780">
        <v>11</v>
      </c>
      <c r="J780" t="inlineStr">
        <is>
          <t>Verify that player 2's game area is on the right side</t>
        </is>
      </c>
      <c r="K780" t="inlineStr">
        <is>
          <t>验证玩家2的游戏区域在右侧</t>
        </is>
      </c>
      <c r="L780" s="2" t="str">
        <f>=HYPERLINK("https://atoms.dev/chat/5461f0b9d820422ebdb36a12a2861905", "https://atoms.dev/chat/5461f0b9d820422ebdb36a12a2861905")</f>
        <v>https://atoms.dev/chat/5461f0b9d820422ebdb36a12a2861905</v>
      </c>
      <c r="M780" s="2"/>
      <c r="N780" s="2" t="str">
        <f>=HYPERLINK("http://press_test3@mgx.dev", "press_test3@mgx.dev")</f>
        <v>press_test3@mgx.dev</v>
      </c>
      <c r="O780" t="inlineStr">
        <is>
          <t>5461f0b9d820422ebdb36a12a2861905</t>
        </is>
      </c>
    </row>
    <row r="781" ht="25.5" customHeight="1">
      <c r="A781" t="inlineStr">
        <is>
          <t>Two Player Game</t>
        </is>
      </c>
      <c r="B781">
        <v>61</v>
      </c>
      <c r="C781" t="inlineStr">
        <is>
          <t>@杨春玉</t>
        </is>
      </c>
      <c r="D781"/>
      <c r="E781"/>
      <c r="F781" t="inlineStr">
        <is>
          <t>@陈佳杰</t>
        </is>
      </c>
      <c r="G781"/>
      <c r="H781"/>
      <c r="I781">
        <v>12</v>
      </c>
      <c r="J781" t="inlineStr">
        <is>
          <t>Confirm scoreboard is visible for both players</t>
        </is>
      </c>
      <c r="K781" t="inlineStr">
        <is>
          <t>确认两位玩家的计分板均可见</t>
        </is>
      </c>
      <c r="L781" s="2" t="str">
        <f>=HYPERLINK("https://atoms.dev/chat/5461f0b9d820422ebdb36a12a2861905", "https://atoms.dev/chat/5461f0b9d820422ebdb36a12a2861905")</f>
        <v>https://atoms.dev/chat/5461f0b9d820422ebdb36a12a2861905</v>
      </c>
      <c r="M781" s="2"/>
      <c r="N781" s="2" t="str">
        <f>=HYPERLINK("http://press_test3@mgx.dev", "press_test3@mgx.dev")</f>
        <v>press_test3@mgx.dev</v>
      </c>
      <c r="O781" t="inlineStr">
        <is>
          <t>5461f0b9d820422ebdb36a12a2861905</t>
        </is>
      </c>
    </row>
    <row r="782" ht="25.5" customHeight="1">
      <c r="A782" t="inlineStr">
        <is>
          <t>Two Player Game</t>
        </is>
      </c>
      <c r="B782">
        <v>61</v>
      </c>
      <c r="C782" t="inlineStr">
        <is>
          <t>@杨春玉</t>
        </is>
      </c>
      <c r="D782"/>
      <c r="E782"/>
      <c r="F782" t="inlineStr">
        <is>
          <t>@陈佳杰</t>
        </is>
      </c>
      <c r="G782"/>
      <c r="H782"/>
      <c r="I782">
        <v>13</v>
      </c>
      <c r="J782" t="inlineStr">
        <is>
          <t>Verify player 1's score updates correctly</t>
        </is>
      </c>
      <c r="K782" t="inlineStr">
        <is>
          <t>验证玩家1的分数正确更新</t>
        </is>
      </c>
      <c r="L782" s="2" t="str">
        <f>=HYPERLINK("https://atoms.dev/chat/5461f0b9d820422ebdb36a12a2861905", "https://atoms.dev/chat/5461f0b9d820422ebdb36a12a2861905")</f>
        <v>https://atoms.dev/chat/5461f0b9d820422ebdb36a12a2861905</v>
      </c>
      <c r="M782" s="2"/>
      <c r="N782" s="2" t="str">
        <f>=HYPERLINK("http://press_test3@mgx.dev", "press_test3@mgx.dev")</f>
        <v>press_test3@mgx.dev</v>
      </c>
      <c r="O782" t="inlineStr">
        <is>
          <t>5461f0b9d820422ebdb36a12a2861905</t>
        </is>
      </c>
    </row>
    <row r="783" ht="25.5" customHeight="1">
      <c r="A783" t="inlineStr">
        <is>
          <t>Two Player Game</t>
        </is>
      </c>
      <c r="B783">
        <v>61</v>
      </c>
      <c r="C783" t="inlineStr">
        <is>
          <t>@杨春玉</t>
        </is>
      </c>
      <c r="D783"/>
      <c r="E783"/>
      <c r="F783" t="inlineStr">
        <is>
          <t>@陈佳杰</t>
        </is>
      </c>
      <c r="G783"/>
      <c r="H783"/>
      <c r="I783">
        <v>14</v>
      </c>
      <c r="J783" t="inlineStr">
        <is>
          <t>Verify player 2's score updates correctly</t>
        </is>
      </c>
      <c r="K783" t="inlineStr">
        <is>
          <t>验证玩家2的分数正确更新</t>
        </is>
      </c>
      <c r="L783" s="2" t="str">
        <f>=HYPERLINK("https://atoms.dev/chat/5461f0b9d820422ebdb36a12a2861905", "https://atoms.dev/chat/5461f0b9d820422ebdb36a12a2861905")</f>
        <v>https://atoms.dev/chat/5461f0b9d820422ebdb36a12a2861905</v>
      </c>
      <c r="M783" s="2"/>
      <c r="N783" s="2" t="str">
        <f>=HYPERLINK("http://press_test3@mgx.dev", "press_test3@mgx.dev")</f>
        <v>press_test3@mgx.dev</v>
      </c>
      <c r="O783" t="inlineStr">
        <is>
          <t>5461f0b9d820422ebdb36a12a2861905</t>
        </is>
      </c>
    </row>
    <row r="784" ht="25.5" customHeight="1">
      <c r="A784" t="inlineStr">
        <is>
          <t>Two Player Game</t>
        </is>
      </c>
      <c r="B784">
        <v>61</v>
      </c>
      <c r="C784" t="inlineStr">
        <is>
          <t>@杨春玉</t>
        </is>
      </c>
      <c r="D784"/>
      <c r="E784"/>
      <c r="F784" t="inlineStr">
        <is>
          <t>@陈佳杰</t>
        </is>
      </c>
      <c r="G784"/>
      <c r="H784"/>
      <c r="I784">
        <v>15</v>
      </c>
      <c r="J784" t="inlineStr">
        <is>
          <t>Verify winner is displayed correctly at end of game</t>
        </is>
      </c>
      <c r="K784" t="inlineStr">
        <is>
          <t>验证游戏结束后胜负结果展示正确</t>
        </is>
      </c>
      <c r="L784" s="2" t="str">
        <f>=HYPERLINK("https://atoms.dev/chat/5461f0b9d820422ebdb36a12a2861905", "https://atoms.dev/chat/5461f0b9d820422ebdb36a12a2861905")</f>
        <v>https://atoms.dev/chat/5461f0b9d820422ebdb36a12a2861905</v>
      </c>
      <c r="M784" s="2"/>
      <c r="N784" s="2" t="str">
        <f>=HYPERLINK("http://press_test3@mgx.dev", "press_test3@mgx.dev")</f>
        <v>press_test3@mgx.dev</v>
      </c>
      <c r="O784" t="inlineStr">
        <is>
          <t>5461f0b9d820422ebdb36a12a2861905</t>
        </is>
      </c>
    </row>
    <row r="785" ht="25.5" customHeight="1">
      <c r="A785" t="inlineStr">
        <is>
          <t>Two Player Game</t>
        </is>
      </c>
      <c r="B785">
        <v>61</v>
      </c>
      <c r="C785" t="inlineStr">
        <is>
          <t>@杨春玉</t>
        </is>
      </c>
      <c r="D785"/>
      <c r="E785"/>
      <c r="F785" t="inlineStr">
        <is>
          <t>@陈佳杰</t>
        </is>
      </c>
      <c r="G785"/>
      <c r="H785"/>
      <c r="I785">
        <v>16</v>
      </c>
      <c r="J785" t="inlineStr">
        <is>
          <t>Check if restart button is visible</t>
        </is>
      </c>
      <c r="K785" t="inlineStr">
        <is>
          <t>检查重新开始按钮可见</t>
        </is>
      </c>
      <c r="L785" s="2" t="str">
        <f>=HYPERLINK("https://atoms.dev/chat/5461f0b9d820422ebdb36a12a2861905", "https://atoms.dev/chat/5461f0b9d820422ebdb36a12a2861905")</f>
        <v>https://atoms.dev/chat/5461f0b9d820422ebdb36a12a2861905</v>
      </c>
      <c r="M785" s="2"/>
      <c r="N785" s="2" t="str">
        <f>=HYPERLINK("http://press_test3@mgx.dev", "press_test3@mgx.dev")</f>
        <v>press_test3@mgx.dev</v>
      </c>
      <c r="O785" t="inlineStr">
        <is>
          <t>5461f0b9d820422ebdb36a12a2861905</t>
        </is>
      </c>
    </row>
    <row r="786" ht="25.5" customHeight="1">
      <c r="A786" t="inlineStr">
        <is>
          <t>Two Player Game</t>
        </is>
      </c>
      <c r="B786">
        <v>61</v>
      </c>
      <c r="C786" t="inlineStr">
        <is>
          <t>@杨春玉</t>
        </is>
      </c>
      <c r="D786"/>
      <c r="E786"/>
      <c r="F786" t="inlineStr">
        <is>
          <t>@陈佳杰</t>
        </is>
      </c>
      <c r="G786"/>
      <c r="H786"/>
      <c r="I786">
        <v>17</v>
      </c>
      <c r="J786" t="inlineStr">
        <is>
          <t>Verify restart button functionality resets the game for both players</t>
        </is>
      </c>
      <c r="K786" t="inlineStr">
        <is>
          <t>验证重新开始按钮功能可重置两位玩家的游戏</t>
        </is>
      </c>
      <c r="L786" s="2" t="str">
        <f>=HYPERLINK("https://atoms.dev/chat/5461f0b9d820422ebdb36a12a2861905", "https://atoms.dev/chat/5461f0b9d820422ebdb36a12a2861905")</f>
        <v>https://atoms.dev/chat/5461f0b9d820422ebdb36a12a2861905</v>
      </c>
      <c r="M786" s="2"/>
      <c r="N786" s="2" t="str">
        <f>=HYPERLINK("http://press_test3@mgx.dev", "press_test3@mgx.dev")</f>
        <v>press_test3@mgx.dev</v>
      </c>
      <c r="O786" t="inlineStr">
        <is>
          <t>5461f0b9d820422ebdb36a12a2861905</t>
        </is>
      </c>
    </row>
    <row r="787" ht="25.5" customHeight="1">
      <c r="A787" t="inlineStr">
        <is>
          <t>Space Shooter</t>
        </is>
      </c>
      <c r="B787">
        <v>62</v>
      </c>
      <c r="C787" t="inlineStr">
        <is>
          <t>@杨春玉</t>
        </is>
      </c>
      <c r="D787">
        <v>1</v>
      </c>
      <c r="E787"/>
      <c r="F787" t="inlineStr">
        <is>
          <t>@陈佳杰</t>
        </is>
      </c>
      <c r="G787">
        <v>1</v>
      </c>
      <c r="H787"/>
      <c r="I787">
        <v>1</v>
      </c>
      <c r="J787" t="inlineStr">
        <is>
          <t>Verify spaceship appears on the game screen</t>
        </is>
      </c>
      <c r="K787" t="inlineStr">
        <is>
          <t>验证游戏屏幕上出现飞船</t>
        </is>
      </c>
      <c r="L787" s="2" t="str">
        <f>=HYPERLINK("http://pre.mgx.dev/chat/d73fa79665554b6c9729019538208844", "http://pre.mgx.dev/chat/d73fa79665554b6c9729019538208844")</f>
        <v>http://pre.mgx.dev/chat/d73fa79665554b6c9729019538208844</v>
      </c>
      <c r="M787" s="2" t="str">
        <f>=HYPERLINK("", "https://45752-d73fa79665554b6c9729019538208844-3-latest.app.beta.mgx.dev")</f>
        <v>https://45752-d73fa79665554b6c9729019538208844-3-latest.app.beta.mgx.dev</v>
      </c>
      <c r="N787" s="2" t="str">
        <f>=HYPERLINK("mailto:eval_42@auto.com", "eval_42@auto.com")</f>
        <v>eval_42@auto.com</v>
      </c>
      <c r="O787" t="inlineStr">
        <is>
          <t>d73fa79665554b6c9729019538208844</t>
        </is>
      </c>
    </row>
    <row r="788" ht="25.5" customHeight="1">
      <c r="A788" t="inlineStr">
        <is>
          <t>Space Shooter</t>
        </is>
      </c>
      <c r="B788">
        <v>62</v>
      </c>
      <c r="C788" t="inlineStr">
        <is>
          <t>@杨春玉</t>
        </is>
      </c>
      <c r="D788">
        <v>1</v>
      </c>
      <c r="E788"/>
      <c r="F788" t="inlineStr">
        <is>
          <t>@陈佳杰</t>
        </is>
      </c>
      <c r="G788">
        <v>1</v>
      </c>
      <c r="H788"/>
      <c r="I788">
        <v>2</v>
      </c>
      <c r="J788" t="inlineStr">
        <is>
          <t>Check if spaceship moves left when left arrow key is pressed</t>
        </is>
      </c>
      <c r="K788" t="inlineStr">
        <is>
          <t>检查按下左方向键时飞船向左移动</t>
        </is>
      </c>
      <c r="L788" s="2" t="str">
        <f>=HYPERLINK("http://pre.mgx.dev/chat/d73fa79665554b6c9729019538208844", "http://pre.mgx.dev/chat/d73fa79665554b6c9729019538208844")</f>
        <v>http://pre.mgx.dev/chat/d73fa79665554b6c9729019538208844</v>
      </c>
      <c r="M788" s="2" t="str">
        <f>=HYPERLINK("", "https://45752-d73fa79665554b6c9729019538208844-3-latest.app.beta.mgx.dev")</f>
        <v>https://45752-d73fa79665554b6c9729019538208844-3-latest.app.beta.mgx.dev</v>
      </c>
      <c r="N788" s="2" t="str">
        <f>=HYPERLINK("mailto:eval_42@auto.com", "eval_42@auto.com")</f>
        <v>eval_42@auto.com</v>
      </c>
      <c r="O788" t="inlineStr">
        <is>
          <t>d73fa79665554b6c9729019538208844</t>
        </is>
      </c>
    </row>
    <row r="789" ht="25.5" customHeight="1">
      <c r="A789" t="inlineStr">
        <is>
          <t>Space Shooter</t>
        </is>
      </c>
      <c r="B789">
        <v>62</v>
      </c>
      <c r="C789" t="inlineStr">
        <is>
          <t>@杨春玉</t>
        </is>
      </c>
      <c r="D789">
        <v>1</v>
      </c>
      <c r="E789"/>
      <c r="F789" t="inlineStr">
        <is>
          <t>@陈佳杰</t>
        </is>
      </c>
      <c r="G789">
        <v>1</v>
      </c>
      <c r="H789"/>
      <c r="I789">
        <v>3</v>
      </c>
      <c r="J789" t="inlineStr">
        <is>
          <t>Check if spaceship moves right when right arrow key is pressed</t>
        </is>
      </c>
      <c r="K789" t="inlineStr">
        <is>
          <t>检查按下右方向键时飞船向右移动</t>
        </is>
      </c>
      <c r="L789" s="2" t="str">
        <f>=HYPERLINK("http://pre.mgx.dev/chat/d73fa79665554b6c9729019538208844", "http://pre.mgx.dev/chat/d73fa79665554b6c9729019538208844")</f>
        <v>http://pre.mgx.dev/chat/d73fa79665554b6c9729019538208844</v>
      </c>
      <c r="M789" s="2" t="str">
        <f>=HYPERLINK("", "https://45752-d73fa79665554b6c9729019538208844-3-latest.app.beta.mgx.dev")</f>
        <v>https://45752-d73fa79665554b6c9729019538208844-3-latest.app.beta.mgx.dev</v>
      </c>
      <c r="N789" s="2" t="str">
        <f>=HYPERLINK("mailto:eval_42@auto.com", "eval_42@auto.com")</f>
        <v>eval_42@auto.com</v>
      </c>
      <c r="O789" t="inlineStr">
        <is>
          <t>d73fa79665554b6c9729019538208844</t>
        </is>
      </c>
    </row>
    <row r="790" ht="25.5" customHeight="1">
      <c r="A790" t="inlineStr">
        <is>
          <t>Space Shooter</t>
        </is>
      </c>
      <c r="B790">
        <v>62</v>
      </c>
      <c r="C790" t="inlineStr">
        <is>
          <t>@杨春玉</t>
        </is>
      </c>
      <c r="D790">
        <v>1</v>
      </c>
      <c r="E790"/>
      <c r="F790" t="inlineStr">
        <is>
          <t>@陈佳杰</t>
        </is>
      </c>
      <c r="G790">
        <v>1</v>
      </c>
      <c r="H790"/>
      <c r="I790">
        <v>4</v>
      </c>
      <c r="J790" t="inlineStr">
        <is>
          <t>Check if spaceship moves up when up arrow key is pressed</t>
        </is>
      </c>
      <c r="K790" t="inlineStr">
        <is>
          <t>检查按下上方向键时飞船向上移动</t>
        </is>
      </c>
      <c r="L790" s="2" t="str">
        <f>=HYPERLINK("http://pre.mgx.dev/chat/d73fa79665554b6c9729019538208844", "http://pre.mgx.dev/chat/d73fa79665554b6c9729019538208844")</f>
        <v>http://pre.mgx.dev/chat/d73fa79665554b6c9729019538208844</v>
      </c>
      <c r="M790" s="2" t="str">
        <f>=HYPERLINK("", "https://45752-d73fa79665554b6c9729019538208844-3-latest.app.beta.mgx.dev")</f>
        <v>https://45752-d73fa79665554b6c9729019538208844-3-latest.app.beta.mgx.dev</v>
      </c>
      <c r="N790" s="2" t="str">
        <f>=HYPERLINK("mailto:eval_42@auto.com", "eval_42@auto.com")</f>
        <v>eval_42@auto.com</v>
      </c>
      <c r="O790" t="inlineStr">
        <is>
          <t>d73fa79665554b6c9729019538208844</t>
        </is>
      </c>
    </row>
    <row r="791" ht="25.5" customHeight="1">
      <c r="A791" t="inlineStr">
        <is>
          <t>Space Shooter</t>
        </is>
      </c>
      <c r="B791">
        <v>62</v>
      </c>
      <c r="C791" t="inlineStr">
        <is>
          <t>@杨春玉</t>
        </is>
      </c>
      <c r="D791">
        <v>1</v>
      </c>
      <c r="E791"/>
      <c r="F791" t="inlineStr">
        <is>
          <t>@陈佳杰</t>
        </is>
      </c>
      <c r="G791">
        <v>1</v>
      </c>
      <c r="H791"/>
      <c r="I791">
        <v>5</v>
      </c>
      <c r="J791" t="inlineStr">
        <is>
          <t>Check if spaceship moves down when down arrow key is pressed</t>
        </is>
      </c>
      <c r="K791" t="inlineStr">
        <is>
          <t>检查按下下方向键时飞船向下移动</t>
        </is>
      </c>
      <c r="L791" s="2" t="str">
        <f>=HYPERLINK("http://pre.mgx.dev/chat/d73fa79665554b6c9729019538208844", "http://pre.mgx.dev/chat/d73fa79665554b6c9729019538208844")</f>
        <v>http://pre.mgx.dev/chat/d73fa79665554b6c9729019538208844</v>
      </c>
      <c r="M791" s="2" t="str">
        <f>=HYPERLINK("", "https://45752-d73fa79665554b6c9729019538208844-3-latest.app.beta.mgx.dev")</f>
        <v>https://45752-d73fa79665554b6c9729019538208844-3-latest.app.beta.mgx.dev</v>
      </c>
      <c r="N791" s="2" t="str">
        <f>=HYPERLINK("mailto:eval_42@auto.com", "eval_42@auto.com")</f>
        <v>eval_42@auto.com</v>
      </c>
      <c r="O791" t="inlineStr">
        <is>
          <t>d73fa79665554b6c9729019538208844</t>
        </is>
      </c>
    </row>
    <row r="792" ht="25.5" customHeight="1">
      <c r="A792" t="inlineStr">
        <is>
          <t>Space Shooter</t>
        </is>
      </c>
      <c r="B792">
        <v>62</v>
      </c>
      <c r="C792" t="inlineStr">
        <is>
          <t>@杨春玉</t>
        </is>
      </c>
      <c r="D792">
        <v>1</v>
      </c>
      <c r="E792"/>
      <c r="F792" t="inlineStr">
        <is>
          <t>@陈佳杰</t>
        </is>
      </c>
      <c r="G792">
        <v>1</v>
      </c>
      <c r="H792"/>
      <c r="I792">
        <v>6</v>
      </c>
      <c r="J792" t="inlineStr">
        <is>
          <t>Verify spaceship shoots when space bar is pressed</t>
        </is>
      </c>
      <c r="K792" t="inlineStr">
        <is>
          <t>验证按下空格键时飞船发射子弹</t>
        </is>
      </c>
      <c r="L792" s="2" t="str">
        <f>=HYPERLINK("http://pre.mgx.dev/chat/d73fa79665554b6c9729019538208844", "http://pre.mgx.dev/chat/d73fa79665554b6c9729019538208844")</f>
        <v>http://pre.mgx.dev/chat/d73fa79665554b6c9729019538208844</v>
      </c>
      <c r="M792" s="2" t="str">
        <f>=HYPERLINK("", "https://45752-d73fa79665554b6c9729019538208844-3-latest.app.beta.mgx.dev")</f>
        <v>https://45752-d73fa79665554b6c9729019538208844-3-latest.app.beta.mgx.dev</v>
      </c>
      <c r="N792" s="2" t="str">
        <f>=HYPERLINK("mailto:eval_42@auto.com", "eval_42@auto.com")</f>
        <v>eval_42@auto.com</v>
      </c>
      <c r="O792" t="inlineStr">
        <is>
          <t>d73fa79665554b6c9729019538208844</t>
        </is>
      </c>
    </row>
    <row r="793" ht="25.5" customHeight="1">
      <c r="A793" t="inlineStr">
        <is>
          <t>Space Shooter</t>
        </is>
      </c>
      <c r="B793">
        <v>62</v>
      </c>
      <c r="C793" t="inlineStr">
        <is>
          <t>@杨春玉</t>
        </is>
      </c>
      <c r="D793">
        <v>1</v>
      </c>
      <c r="E793"/>
      <c r="F793" t="inlineStr">
        <is>
          <t>@陈佳杰</t>
        </is>
      </c>
      <c r="G793">
        <v>1</v>
      </c>
      <c r="H793"/>
      <c r="I793">
        <v>7</v>
      </c>
      <c r="J793" t="inlineStr">
        <is>
          <t>Check if bullets appear on screen when shooting</t>
        </is>
      </c>
      <c r="K793" t="inlineStr">
        <is>
          <t>检查发射时屏幕上出现子弹</t>
        </is>
      </c>
      <c r="L793" s="2" t="str">
        <f>=HYPERLINK("http://pre.mgx.dev/chat/d73fa79665554b6c9729019538208844", "http://pre.mgx.dev/chat/d73fa79665554b6c9729019538208844")</f>
        <v>http://pre.mgx.dev/chat/d73fa79665554b6c9729019538208844</v>
      </c>
      <c r="M793" s="2" t="str">
        <f>=HYPERLINK("", "https://45752-d73fa79665554b6c9729019538208844-3-latest.app.beta.mgx.dev")</f>
        <v>https://45752-d73fa79665554b6c9729019538208844-3-latest.app.beta.mgx.dev</v>
      </c>
      <c r="N793" s="2" t="str">
        <f>=HYPERLINK("mailto:eval_42@auto.com", "eval_42@auto.com")</f>
        <v>eval_42@auto.com</v>
      </c>
      <c r="O793" t="inlineStr">
        <is>
          <t>d73fa79665554b6c9729019538208844</t>
        </is>
      </c>
    </row>
    <row r="794" ht="25.5" customHeight="1">
      <c r="A794" t="inlineStr">
        <is>
          <t>Space Shooter</t>
        </is>
      </c>
      <c r="B794">
        <v>62</v>
      </c>
      <c r="C794" t="inlineStr">
        <is>
          <t>@杨春玉</t>
        </is>
      </c>
      <c r="D794">
        <v>1</v>
      </c>
      <c r="E794"/>
      <c r="F794" t="inlineStr">
        <is>
          <t>@陈佳杰</t>
        </is>
      </c>
      <c r="G794">
        <v>1</v>
      </c>
      <c r="H794"/>
      <c r="I794">
        <v>8</v>
      </c>
      <c r="J794" t="inlineStr">
        <is>
          <t>Verify bullets move in the correct direction</t>
        </is>
      </c>
      <c r="K794" t="inlineStr">
        <is>
          <t>验证子弹向正确方向移动</t>
        </is>
      </c>
      <c r="L794" s="2" t="str">
        <f>=HYPERLINK("http://pre.mgx.dev/chat/d73fa79665554b6c9729019538208844", "http://pre.mgx.dev/chat/d73fa79665554b6c9729019538208844")</f>
        <v>http://pre.mgx.dev/chat/d73fa79665554b6c9729019538208844</v>
      </c>
      <c r="M794" s="2" t="str">
        <f>=HYPERLINK("", "https://45752-d73fa79665554b6c9729019538208844-3-latest.app.beta.mgx.dev")</f>
        <v>https://45752-d73fa79665554b6c9729019538208844-3-latest.app.beta.mgx.dev</v>
      </c>
      <c r="N794" s="2" t="str">
        <f>=HYPERLINK("mailto:eval_42@auto.com", "eval_42@auto.com")</f>
        <v>eval_42@auto.com</v>
      </c>
      <c r="O794" t="inlineStr">
        <is>
          <t>d73fa79665554b6c9729019538208844</t>
        </is>
      </c>
    </row>
    <row r="795" ht="25.5" customHeight="1">
      <c r="A795" t="inlineStr">
        <is>
          <t>Space Shooter</t>
        </is>
      </c>
      <c r="B795">
        <v>62</v>
      </c>
      <c r="C795" t="inlineStr">
        <is>
          <t>@杨春玉</t>
        </is>
      </c>
      <c r="D795">
        <v>1</v>
      </c>
      <c r="E795"/>
      <c r="F795" t="inlineStr">
        <is>
          <t>@陈佳杰</t>
        </is>
      </c>
      <c r="G795">
        <v>1</v>
      </c>
      <c r="H795"/>
      <c r="I795">
        <v>9</v>
      </c>
      <c r="J795" t="inlineStr">
        <is>
          <t>Check if multiple enemies can appear simultaneously</t>
        </is>
      </c>
      <c r="K795" t="inlineStr">
        <is>
          <t>检查可同时出现多个敌人</t>
        </is>
      </c>
      <c r="L795" s="2" t="str">
        <f>=HYPERLINK("http://pre.mgx.dev/chat/d73fa79665554b6c9729019538208844", "http://pre.mgx.dev/chat/d73fa79665554b6c9729019538208844")</f>
        <v>http://pre.mgx.dev/chat/d73fa79665554b6c9729019538208844</v>
      </c>
      <c r="M795" s="2" t="str">
        <f>=HYPERLINK("", "https://45752-d73fa79665554b6c9729019538208844-3-latest.app.beta.mgx.dev")</f>
        <v>https://45752-d73fa79665554b6c9729019538208844-3-latest.app.beta.mgx.dev</v>
      </c>
      <c r="N795" s="2" t="str">
        <f>=HYPERLINK("mailto:eval_42@auto.com", "eval_42@auto.com")</f>
        <v>eval_42@auto.com</v>
      </c>
      <c r="O795" t="inlineStr">
        <is>
          <t>d73fa79665554b6c9729019538208844</t>
        </is>
      </c>
    </row>
    <row r="796" ht="25.5" customHeight="1">
      <c r="A796" t="inlineStr">
        <is>
          <t>Space Shooter</t>
        </is>
      </c>
      <c r="B796">
        <v>62</v>
      </c>
      <c r="C796" t="inlineStr">
        <is>
          <t>@杨春玉</t>
        </is>
      </c>
      <c r="D796">
        <v>1</v>
      </c>
      <c r="E796"/>
      <c r="F796" t="inlineStr">
        <is>
          <t>@陈佳杰</t>
        </is>
      </c>
      <c r="G796">
        <v>0</v>
      </c>
      <c r="H796" t="inlineStr">
        <is>
          <t>敌人仅会沿着原先的路径移动</t>
        </is>
      </c>
      <c r="I796">
        <v>10</v>
      </c>
      <c r="J796" t="inlineStr">
        <is>
          <t>Verify enemies move towards the player's spaceship</t>
        </is>
      </c>
      <c r="K796" t="inlineStr">
        <is>
          <t>验证敌人向玩家的飞船移动</t>
        </is>
      </c>
      <c r="L796" s="2" t="str">
        <f>=HYPERLINK("http://pre.mgx.dev/chat/d73fa79665554b6c9729019538208844", "http://pre.mgx.dev/chat/d73fa79665554b6c9729019538208844")</f>
        <v>http://pre.mgx.dev/chat/d73fa79665554b6c9729019538208844</v>
      </c>
      <c r="M796" s="2" t="str">
        <f>=HYPERLINK("", "https://45752-d73fa79665554b6c9729019538208844-3-latest.app.beta.mgx.dev")</f>
        <v>https://45752-d73fa79665554b6c9729019538208844-3-latest.app.beta.mgx.dev</v>
      </c>
      <c r="N796" s="2" t="str">
        <f>=HYPERLINK("mailto:eval_42@auto.com", "eval_42@auto.com")</f>
        <v>eval_42@auto.com</v>
      </c>
      <c r="O796" t="inlineStr">
        <is>
          <t>d73fa79665554b6c9729019538208844</t>
        </is>
      </c>
    </row>
    <row r="797" ht="25.5" customHeight="1">
      <c r="A797" t="inlineStr">
        <is>
          <t>Space Shooter</t>
        </is>
      </c>
      <c r="B797">
        <v>62</v>
      </c>
      <c r="C797" t="inlineStr">
        <is>
          <t>@杨春玉</t>
        </is>
      </c>
      <c r="D797">
        <v>1</v>
      </c>
      <c r="E797"/>
      <c r="F797" t="inlineStr">
        <is>
          <t>@陈佳杰</t>
        </is>
      </c>
      <c r="G797">
        <v>1</v>
      </c>
      <c r="H797"/>
      <c r="I797">
        <v>11</v>
      </c>
      <c r="J797" t="inlineStr">
        <is>
          <t>Verify score increases when an enemy is hit by a bullet</t>
        </is>
      </c>
      <c r="K797" t="inlineStr">
        <is>
          <t>验证子弹击中敌人后分数增加</t>
        </is>
      </c>
      <c r="L797" s="2" t="str">
        <f>=HYPERLINK("http://pre.mgx.dev/chat/d73fa79665554b6c9729019538208844", "http://pre.mgx.dev/chat/d73fa79665554b6c9729019538208844")</f>
        <v>http://pre.mgx.dev/chat/d73fa79665554b6c9729019538208844</v>
      </c>
      <c r="M797" s="2" t="str">
        <f>=HYPERLINK("", "https://45752-d73fa79665554b6c9729019538208844-3-latest.app.beta.mgx.dev")</f>
        <v>https://45752-d73fa79665554b6c9729019538208844-3-latest.app.beta.mgx.dev</v>
      </c>
      <c r="N797" s="2" t="str">
        <f>=HYPERLINK("mailto:eval_42@auto.com", "eval_42@auto.com")</f>
        <v>eval_42@auto.com</v>
      </c>
      <c r="O797" t="inlineStr">
        <is>
          <t>d73fa79665554b6c9729019538208844</t>
        </is>
      </c>
    </row>
    <row r="798" ht="25.5" customHeight="1">
      <c r="A798" t="inlineStr">
        <is>
          <t>Space Shooter</t>
        </is>
      </c>
      <c r="B798">
        <v>62</v>
      </c>
      <c r="C798" t="inlineStr">
        <is>
          <t>@杨春玉</t>
        </is>
      </c>
      <c r="D798">
        <v>1</v>
      </c>
      <c r="E798"/>
      <c r="F798" t="inlineStr">
        <is>
          <t>@陈佳杰</t>
        </is>
      </c>
      <c r="G798">
        <v>1</v>
      </c>
      <c r="H798"/>
      <c r="I798">
        <v>12</v>
      </c>
      <c r="J798" t="inlineStr">
        <is>
          <t>Check if score is displayed on the screen</t>
        </is>
      </c>
      <c r="K798" t="inlineStr">
        <is>
          <t>检查屏幕上展示分数</t>
        </is>
      </c>
      <c r="L798" s="2" t="str">
        <f>=HYPERLINK("http://pre.mgx.dev/chat/d73fa79665554b6c9729019538208844", "http://pre.mgx.dev/chat/d73fa79665554b6c9729019538208844")</f>
        <v>http://pre.mgx.dev/chat/d73fa79665554b6c9729019538208844</v>
      </c>
      <c r="M798" s="2" t="str">
        <f>=HYPERLINK("", "https://45752-d73fa79665554b6c9729019538208844-3-latest.app.beta.mgx.dev")</f>
        <v>https://45752-d73fa79665554b6c9729019538208844-3-latest.app.beta.mgx.dev</v>
      </c>
      <c r="N798" s="2" t="str">
        <f>=HYPERLINK("mailto:eval_42@auto.com", "eval_42@auto.com")</f>
        <v>eval_42@auto.com</v>
      </c>
      <c r="O798" t="inlineStr">
        <is>
          <t>d73fa79665554b6c9729019538208844</t>
        </is>
      </c>
    </row>
    <row r="799" ht="25.5" customHeight="1">
      <c r="A799" t="inlineStr">
        <is>
          <t>Space Shooter</t>
        </is>
      </c>
      <c r="B799">
        <v>62</v>
      </c>
      <c r="C799" t="inlineStr">
        <is>
          <t>@杨春玉</t>
        </is>
      </c>
      <c r="D799">
        <v>1</v>
      </c>
      <c r="E799"/>
      <c r="F799" t="inlineStr">
        <is>
          <t>@陈佳杰</t>
        </is>
      </c>
      <c r="G799">
        <v>1</v>
      </c>
      <c r="H799"/>
      <c r="I799">
        <v>13</v>
      </c>
      <c r="J799" t="inlineStr">
        <is>
          <t>Verify score updates in real-time as enemies are defeated</t>
        </is>
      </c>
      <c r="K799" t="inlineStr">
        <is>
          <t>验证击败敌人后分数实时更新</t>
        </is>
      </c>
      <c r="L799" s="2" t="str">
        <f>=HYPERLINK("http://pre.mgx.dev/chat/d73fa79665554b6c9729019538208844", "http://pre.mgx.dev/chat/d73fa79665554b6c9729019538208844")</f>
        <v>http://pre.mgx.dev/chat/d73fa79665554b6c9729019538208844</v>
      </c>
      <c r="M799" s="2" t="str">
        <f>=HYPERLINK("", "https://45752-d73fa79665554b6c9729019538208844-3-latest.app.beta.mgx.dev")</f>
        <v>https://45752-d73fa79665554b6c9729019538208844-3-latest.app.beta.mgx.dev</v>
      </c>
      <c r="N799" s="2" t="str">
        <f>=HYPERLINK("mailto:eval_42@auto.com", "eval_42@auto.com")</f>
        <v>eval_42@auto.com</v>
      </c>
      <c r="O799" t="inlineStr">
        <is>
          <t>d73fa79665554b6c9729019538208844</t>
        </is>
      </c>
    </row>
    <row r="800" ht="25.5" customHeight="1">
      <c r="A800" t="inlineStr">
        <is>
          <t>Space Shooter</t>
        </is>
      </c>
      <c r="B800">
        <v>62</v>
      </c>
      <c r="C800" t="inlineStr">
        <is>
          <t>@杨春玉</t>
        </is>
      </c>
      <c r="D800">
        <v>1</v>
      </c>
      <c r="E800"/>
      <c r="F800" t="inlineStr">
        <is>
          <t>@陈佳杰</t>
        </is>
      </c>
      <c r="G800">
        <v>1</v>
      </c>
      <c r="H800"/>
      <c r="I800">
        <v>14</v>
      </c>
      <c r="J800" t="inlineStr">
        <is>
          <t>Verify player's health bar is displayed on the screen</t>
        </is>
      </c>
      <c r="K800" t="inlineStr">
        <is>
          <t>验证游戏屏幕上展示玩家的生命值条</t>
        </is>
      </c>
      <c r="L800" s="2" t="str">
        <f>=HYPERLINK("http://pre.mgx.dev/chat/d73fa79665554b6c9729019538208844", "http://pre.mgx.dev/chat/d73fa79665554b6c9729019538208844")</f>
        <v>http://pre.mgx.dev/chat/d73fa79665554b6c9729019538208844</v>
      </c>
      <c r="M800" s="2" t="str">
        <f>=HYPERLINK("", "https://45752-d73fa79665554b6c9729019538208844-3-latest.app.beta.mgx.dev")</f>
        <v>https://45752-d73fa79665554b6c9729019538208844-3-latest.app.beta.mgx.dev</v>
      </c>
      <c r="N800" s="2" t="str">
        <f>=HYPERLINK("mailto:eval_42@auto.com", "eval_42@auto.com")</f>
        <v>eval_42@auto.com</v>
      </c>
      <c r="O800" t="inlineStr">
        <is>
          <t>d73fa79665554b6c9729019538208844</t>
        </is>
      </c>
    </row>
    <row r="801" ht="25.5" customHeight="1">
      <c r="A801" t="inlineStr">
        <is>
          <t>Space Shooter</t>
        </is>
      </c>
      <c r="B801">
        <v>62</v>
      </c>
      <c r="C801" t="inlineStr">
        <is>
          <t>@杨春玉</t>
        </is>
      </c>
      <c r="D801">
        <v>1</v>
      </c>
      <c r="E801"/>
      <c r="F801" t="inlineStr">
        <is>
          <t>@陈佳杰</t>
        </is>
      </c>
      <c r="G801">
        <v>1</v>
      </c>
      <c r="H801"/>
      <c r="I801">
        <v>15</v>
      </c>
      <c r="J801" t="inlineStr">
        <is>
          <t>Check if health decreases when player's spaceship is hit by an enemy</t>
        </is>
      </c>
      <c r="K801" t="inlineStr">
        <is>
          <t>检查飞船被敌人击中后生命值减少</t>
        </is>
      </c>
      <c r="L801" s="2" t="str">
        <f>=HYPERLINK("http://pre.mgx.dev/chat/d73fa79665554b6c9729019538208844", "http://pre.mgx.dev/chat/d73fa79665554b6c9729019538208844")</f>
        <v>http://pre.mgx.dev/chat/d73fa79665554b6c9729019538208844</v>
      </c>
      <c r="M801" s="2" t="str">
        <f>=HYPERLINK("", "https://45752-d73fa79665554b6c9729019538208844-3-latest.app.beta.mgx.dev")</f>
        <v>https://45752-d73fa79665554b6c9729019538208844-3-latest.app.beta.mgx.dev</v>
      </c>
      <c r="N801" s="2" t="str">
        <f>=HYPERLINK("mailto:eval_42@auto.com", "eval_42@auto.com")</f>
        <v>eval_42@auto.com</v>
      </c>
      <c r="O801" t="inlineStr">
        <is>
          <t>d73fa79665554b6c9729019538208844</t>
        </is>
      </c>
    </row>
    <row r="802" ht="25.5" customHeight="1">
      <c r="A802" t="inlineStr">
        <is>
          <t>Space Shooter</t>
        </is>
      </c>
      <c r="B802">
        <v>62</v>
      </c>
      <c r="C802" t="inlineStr">
        <is>
          <t>@杨春玉</t>
        </is>
      </c>
      <c r="D802">
        <v>1</v>
      </c>
      <c r="E802"/>
      <c r="F802" t="inlineStr">
        <is>
          <t>@陈佳杰</t>
        </is>
      </c>
      <c r="G802">
        <v>1</v>
      </c>
      <c r="H802"/>
      <c r="I802">
        <v>16</v>
      </c>
      <c r="J802" t="inlineStr">
        <is>
          <t>Verify game over screen appears when player's health reaches zero</t>
        </is>
      </c>
      <c r="K802" t="inlineStr">
        <is>
          <t>验证生命值为零时展示游戏结束界面</t>
        </is>
      </c>
      <c r="L802" s="2" t="str">
        <f>=HYPERLINK("http://pre.mgx.dev/chat/d73fa79665554b6c9729019538208844", "http://pre.mgx.dev/chat/d73fa79665554b6c9729019538208844")</f>
        <v>http://pre.mgx.dev/chat/d73fa79665554b6c9729019538208844</v>
      </c>
      <c r="M802" s="2" t="str">
        <f>=HYPERLINK("", "https://45752-d73fa79665554b6c9729019538208844-3-latest.app.beta.mgx.dev")</f>
        <v>https://45752-d73fa79665554b6c9729019538208844-3-latest.app.beta.mgx.dev</v>
      </c>
      <c r="N802" s="2" t="str">
        <f>=HYPERLINK("mailto:eval_42@auto.com", "eval_42@auto.com")</f>
        <v>eval_42@auto.com</v>
      </c>
      <c r="O802" t="inlineStr">
        <is>
          <t>d73fa79665554b6c9729019538208844</t>
        </is>
      </c>
    </row>
    <row r="803" ht="25.5" customHeight="1">
      <c r="A803" t="inlineStr">
        <is>
          <t>Space Shooter</t>
        </is>
      </c>
      <c r="B803">
        <v>62</v>
      </c>
      <c r="C803" t="inlineStr">
        <is>
          <t>@杨春玉</t>
        </is>
      </c>
      <c r="D803">
        <v>1</v>
      </c>
      <c r="E803"/>
      <c r="F803" t="inlineStr">
        <is>
          <t>@陈佳杰</t>
        </is>
      </c>
      <c r="G803">
        <v>1</v>
      </c>
      <c r="H803"/>
      <c r="I803">
        <v>17</v>
      </c>
      <c r="J803" t="inlineStr">
        <is>
          <t>Check if final score is displayed on the game over screen</t>
        </is>
      </c>
      <c r="K803" t="inlineStr">
        <is>
          <t>检查游戏结束界面上展示最终分数</t>
        </is>
      </c>
      <c r="L803" s="2" t="str">
        <f>=HYPERLINK("http://pre.mgx.dev/chat/d73fa79665554b6c9729019538208844", "http://pre.mgx.dev/chat/d73fa79665554b6c9729019538208844")</f>
        <v>http://pre.mgx.dev/chat/d73fa79665554b6c9729019538208844</v>
      </c>
      <c r="M803" s="2" t="str">
        <f>=HYPERLINK("", "https://45752-d73fa79665554b6c9729019538208844-3-latest.app.beta.mgx.dev")</f>
        <v>https://45752-d73fa79665554b6c9729019538208844-3-latest.app.beta.mgx.dev</v>
      </c>
      <c r="N803" s="2" t="str">
        <f>=HYPERLINK("mailto:eval_42@auto.com", "eval_42@auto.com")</f>
        <v>eval_42@auto.com</v>
      </c>
      <c r="O803" t="inlineStr">
        <is>
          <t>d73fa79665554b6c9729019538208844</t>
        </is>
      </c>
    </row>
    <row r="804" ht="25.5" customHeight="1">
      <c r="A804" t="inlineStr">
        <is>
          <t>Block Breaker</t>
        </is>
      </c>
      <c r="B804">
        <v>63</v>
      </c>
      <c r="C804" t="inlineStr">
        <is>
          <t>@杨春玉</t>
        </is>
      </c>
      <c r="D804">
        <v>1</v>
      </c>
      <c r="E804"/>
      <c r="F804" t="inlineStr">
        <is>
          <t>@陈佳杰</t>
        </is>
      </c>
      <c r="G804">
        <v>1</v>
      </c>
      <c r="H804"/>
      <c r="I804">
        <v>1</v>
      </c>
      <c r="J804" t="inlineStr">
        <is>
          <t>Verify that the paddle is visible on the screen</t>
        </is>
      </c>
      <c r="K804" t="inlineStr">
        <is>
          <t>验证游戏屏幕上可见挡板</t>
        </is>
      </c>
      <c r="L804" s="2" t="str">
        <f>=HYPERLINK("http://pre.mgx.dev/chat/ce8aa7942f0e40bb8ebd8193870d1948", "http://pre.mgx.dev/chat/ce8aa7942f0e40bb8ebd8193870d1948")</f>
        <v>http://pre.mgx.dev/chat/ce8aa7942f0e40bb8ebd8193870d1948</v>
      </c>
      <c r="M804" s="2" t="str">
        <f>=HYPERLINK("", "https://45774-ce8aa7942f0e40bb8ebd8193870d1948-3-latest.app.beta.mgx.dev")</f>
        <v>https://45774-ce8aa7942f0e40bb8ebd8193870d1948-3-latest.app.beta.mgx.dev</v>
      </c>
      <c r="N804" s="2" t="str">
        <f>=HYPERLINK("mailto:eval_64@auto.com", "eval_64@auto.com")</f>
        <v>eval_64@auto.com</v>
      </c>
      <c r="O804" t="inlineStr">
        <is>
          <t>ce8aa7942f0e40bb8ebd8193870d1948</t>
        </is>
      </c>
    </row>
    <row r="805" ht="25.5" customHeight="1">
      <c r="A805" t="inlineStr">
        <is>
          <t>Block Breaker</t>
        </is>
      </c>
      <c r="B805">
        <v>63</v>
      </c>
      <c r="C805" t="inlineStr">
        <is>
          <t>@杨春玉</t>
        </is>
      </c>
      <c r="D805">
        <v>1</v>
      </c>
      <c r="E805"/>
      <c r="F805" t="inlineStr">
        <is>
          <t>@陈佳杰</t>
        </is>
      </c>
      <c r="G805">
        <v>1</v>
      </c>
      <c r="H805"/>
      <c r="I805">
        <v>2</v>
      </c>
      <c r="J805" t="inlineStr">
        <is>
          <t>Check if the paddle moves left when the left arrow key is pressed</t>
        </is>
      </c>
      <c r="K805" t="inlineStr">
        <is>
          <t>检查按下左方向键时挡板向左移动</t>
        </is>
      </c>
      <c r="L805" s="2" t="str">
        <f>=HYPERLINK("http://pre.mgx.dev/chat/ce8aa7942f0e40bb8ebd8193870d1948", "http://pre.mgx.dev/chat/ce8aa7942f0e40bb8ebd8193870d1948")</f>
        <v>http://pre.mgx.dev/chat/ce8aa7942f0e40bb8ebd8193870d1948</v>
      </c>
      <c r="M805" s="2" t="str">
        <f>=HYPERLINK("", "https://45774-ce8aa7942f0e40bb8ebd8193870d1948-3-latest.app.beta.mgx.dev")</f>
        <v>https://45774-ce8aa7942f0e40bb8ebd8193870d1948-3-latest.app.beta.mgx.dev</v>
      </c>
      <c r="N805" s="2" t="str">
        <f>=HYPERLINK("mailto:eval_64@auto.com", "eval_64@auto.com")</f>
        <v>eval_64@auto.com</v>
      </c>
      <c r="O805" t="inlineStr">
        <is>
          <t>ce8aa7942f0e40bb8ebd8193870d1948</t>
        </is>
      </c>
    </row>
    <row r="806" ht="25.5" customHeight="1">
      <c r="A806" t="inlineStr">
        <is>
          <t>Block Breaker</t>
        </is>
      </c>
      <c r="B806">
        <v>63</v>
      </c>
      <c r="C806" t="inlineStr">
        <is>
          <t>@杨春玉</t>
        </is>
      </c>
      <c r="D806">
        <v>1</v>
      </c>
      <c r="E806"/>
      <c r="F806" t="inlineStr">
        <is>
          <t>@陈佳杰</t>
        </is>
      </c>
      <c r="G806">
        <v>1</v>
      </c>
      <c r="H806"/>
      <c r="I806">
        <v>3</v>
      </c>
      <c r="J806" t="inlineStr">
        <is>
          <t>Check if the paddle moves right when the right arrow key is pressed</t>
        </is>
      </c>
      <c r="K806" t="inlineStr">
        <is>
          <t>检查按下右方向键时挡板向右移动</t>
        </is>
      </c>
      <c r="L806" s="2" t="str">
        <f>=HYPERLINK("http://pre.mgx.dev/chat/ce8aa7942f0e40bb8ebd8193870d1948", "http://pre.mgx.dev/chat/ce8aa7942f0e40bb8ebd8193870d1948")</f>
        <v>http://pre.mgx.dev/chat/ce8aa7942f0e40bb8ebd8193870d1948</v>
      </c>
      <c r="M806" s="2" t="str">
        <f>=HYPERLINK("", "https://45774-ce8aa7942f0e40bb8ebd8193870d1948-3-latest.app.beta.mgx.dev")</f>
        <v>https://45774-ce8aa7942f0e40bb8ebd8193870d1948-3-latest.app.beta.mgx.dev</v>
      </c>
      <c r="N806" s="2" t="str">
        <f>=HYPERLINK("mailto:eval_64@auto.com", "eval_64@auto.com")</f>
        <v>eval_64@auto.com</v>
      </c>
      <c r="O806" t="inlineStr">
        <is>
          <t>ce8aa7942f0e40bb8ebd8193870d1948</t>
        </is>
      </c>
    </row>
    <row r="807" ht="25.5" customHeight="1">
      <c r="A807" t="inlineStr">
        <is>
          <t>Block Breaker</t>
        </is>
      </c>
      <c r="B807">
        <v>63</v>
      </c>
      <c r="C807" t="inlineStr">
        <is>
          <t>@杨春玉</t>
        </is>
      </c>
      <c r="D807">
        <v>1</v>
      </c>
      <c r="E807"/>
      <c r="F807" t="inlineStr">
        <is>
          <t>@陈佳杰</t>
        </is>
      </c>
      <c r="G807">
        <v>1</v>
      </c>
      <c r="H807"/>
      <c r="I807">
        <v>4</v>
      </c>
      <c r="J807" t="inlineStr">
        <is>
          <t>Ensure the paddle stays within the game boundaries when moving</t>
        </is>
      </c>
      <c r="K807" t="inlineStr">
        <is>
          <t>确保挡板移动时保持在游戏边界内</t>
        </is>
      </c>
      <c r="L807" s="2" t="str">
        <f>=HYPERLINK("http://pre.mgx.dev/chat/ce8aa7942f0e40bb8ebd8193870d1948", "http://pre.mgx.dev/chat/ce8aa7942f0e40bb8ebd8193870d1948")</f>
        <v>http://pre.mgx.dev/chat/ce8aa7942f0e40bb8ebd8193870d1948</v>
      </c>
      <c r="M807" s="2" t="str">
        <f>=HYPERLINK("", "https://45774-ce8aa7942f0e40bb8ebd8193870d1948-3-latest.app.beta.mgx.dev")</f>
        <v>https://45774-ce8aa7942f0e40bb8ebd8193870d1948-3-latest.app.beta.mgx.dev</v>
      </c>
      <c r="N807" s="2" t="str">
        <f>=HYPERLINK("mailto:eval_64@auto.com", "eval_64@auto.com")</f>
        <v>eval_64@auto.com</v>
      </c>
      <c r="O807" t="inlineStr">
        <is>
          <t>ce8aa7942f0e40bb8ebd8193870d1948</t>
        </is>
      </c>
    </row>
    <row r="808" ht="25.5" customHeight="1">
      <c r="A808" t="inlineStr">
        <is>
          <t>Block Breaker</t>
        </is>
      </c>
      <c r="B808">
        <v>63</v>
      </c>
      <c r="C808" t="inlineStr">
        <is>
          <t>@杨春玉</t>
        </is>
      </c>
      <c r="D808">
        <v>1</v>
      </c>
      <c r="E808"/>
      <c r="F808" t="inlineStr">
        <is>
          <t>@陈佳杰</t>
        </is>
      </c>
      <c r="G808">
        <v>1</v>
      </c>
      <c r="H808"/>
      <c r="I808">
        <v>5</v>
      </c>
      <c r="J808" t="inlineStr">
        <is>
          <t>Confirm that the ball is visible on the screen</t>
        </is>
      </c>
      <c r="K808" t="inlineStr">
        <is>
          <t>确认游戏屏幕上可见小球</t>
        </is>
      </c>
      <c r="L808" s="2" t="str">
        <f>=HYPERLINK("http://pre.mgx.dev/chat/ce8aa7942f0e40bb8ebd8193870d1948", "http://pre.mgx.dev/chat/ce8aa7942f0e40bb8ebd8193870d1948")</f>
        <v>http://pre.mgx.dev/chat/ce8aa7942f0e40bb8ebd8193870d1948</v>
      </c>
      <c r="M808" s="2" t="str">
        <f>=HYPERLINK("", "https://45774-ce8aa7942f0e40bb8ebd8193870d1948-3-latest.app.beta.mgx.dev")</f>
        <v>https://45774-ce8aa7942f0e40bb8ebd8193870d1948-3-latest.app.beta.mgx.dev</v>
      </c>
      <c r="N808" s="2" t="str">
        <f>=HYPERLINK("mailto:eval_64@auto.com", "eval_64@auto.com")</f>
        <v>eval_64@auto.com</v>
      </c>
      <c r="O808" t="inlineStr">
        <is>
          <t>ce8aa7942f0e40bb8ebd8193870d1948</t>
        </is>
      </c>
    </row>
    <row r="809" ht="25.5" customHeight="1">
      <c r="A809" t="inlineStr">
        <is>
          <t>Block Breaker</t>
        </is>
      </c>
      <c r="B809">
        <v>63</v>
      </c>
      <c r="C809" t="inlineStr">
        <is>
          <t>@杨春玉</t>
        </is>
      </c>
      <c r="D809">
        <v>1</v>
      </c>
      <c r="E809"/>
      <c r="F809" t="inlineStr">
        <is>
          <t>@陈佳杰</t>
        </is>
      </c>
      <c r="G809">
        <v>1</v>
      </c>
      <c r="H809"/>
      <c r="I809">
        <v>6</v>
      </c>
      <c r="J809" t="inlineStr">
        <is>
          <t>Verify that bricks are displayed on the screen</t>
        </is>
      </c>
      <c r="K809" t="inlineStr">
        <is>
          <t>验证游戏屏幕上展示砖块</t>
        </is>
      </c>
      <c r="L809" s="2" t="str">
        <f>=HYPERLINK("http://pre.mgx.dev/chat/ce8aa7942f0e40bb8ebd8193870d1948", "http://pre.mgx.dev/chat/ce8aa7942f0e40bb8ebd8193870d1948")</f>
        <v>http://pre.mgx.dev/chat/ce8aa7942f0e40bb8ebd8193870d1948</v>
      </c>
      <c r="M809" s="2" t="str">
        <f>=HYPERLINK("", "https://45774-ce8aa7942f0e40bb8ebd8193870d1948-3-latest.app.beta.mgx.dev")</f>
        <v>https://45774-ce8aa7942f0e40bb8ebd8193870d1948-3-latest.app.beta.mgx.dev</v>
      </c>
      <c r="N809" s="2" t="str">
        <f>=HYPERLINK("mailto:eval_64@auto.com", "eval_64@auto.com")</f>
        <v>eval_64@auto.com</v>
      </c>
      <c r="O809" t="inlineStr">
        <is>
          <t>ce8aa7942f0e40bb8ebd8193870d1948</t>
        </is>
      </c>
    </row>
    <row r="810" ht="25.5" customHeight="1">
      <c r="A810" t="inlineStr">
        <is>
          <t>Block Breaker</t>
        </is>
      </c>
      <c r="B810">
        <v>63</v>
      </c>
      <c r="C810" t="inlineStr">
        <is>
          <t>@杨春玉</t>
        </is>
      </c>
      <c r="D810">
        <v>1</v>
      </c>
      <c r="E810"/>
      <c r="F810" t="inlineStr">
        <is>
          <t>@陈佳杰</t>
        </is>
      </c>
      <c r="G810">
        <v>1</v>
      </c>
      <c r="H810"/>
      <c r="I810">
        <v>7</v>
      </c>
      <c r="J810" t="inlineStr">
        <is>
          <t>Check if bricks disappear when hit by the ball</t>
        </is>
      </c>
      <c r="K810" t="inlineStr">
        <is>
          <t>检查小球击中砖块后砖块消失</t>
        </is>
      </c>
      <c r="L810" s="2" t="str">
        <f>=HYPERLINK("http://pre.mgx.dev/chat/ce8aa7942f0e40bb8ebd8193870d1948", "http://pre.mgx.dev/chat/ce8aa7942f0e40bb8ebd8193870d1948")</f>
        <v>http://pre.mgx.dev/chat/ce8aa7942f0e40bb8ebd8193870d1948</v>
      </c>
      <c r="M810" s="2" t="str">
        <f>=HYPERLINK("", "https://45774-ce8aa7942f0e40bb8ebd8193870d1948-3-latest.app.beta.mgx.dev")</f>
        <v>https://45774-ce8aa7942f0e40bb8ebd8193870d1948-3-latest.app.beta.mgx.dev</v>
      </c>
      <c r="N810" s="2" t="str">
        <f>=HYPERLINK("mailto:eval_64@auto.com", "eval_64@auto.com")</f>
        <v>eval_64@auto.com</v>
      </c>
      <c r="O810" t="inlineStr">
        <is>
          <t>ce8aa7942f0e40bb8ebd8193870d1948</t>
        </is>
      </c>
    </row>
    <row r="811" ht="25.5" customHeight="1">
      <c r="A811" t="inlineStr">
        <is>
          <t>Block Breaker</t>
        </is>
      </c>
      <c r="B811">
        <v>63</v>
      </c>
      <c r="C811" t="inlineStr">
        <is>
          <t>@杨春玉</t>
        </is>
      </c>
      <c r="D811">
        <v>1</v>
      </c>
      <c r="E811"/>
      <c r="F811" t="inlineStr">
        <is>
          <t>@陈佳杰</t>
        </is>
      </c>
      <c r="G811">
        <v>1</v>
      </c>
      <c r="H811"/>
      <c r="I811">
        <v>8</v>
      </c>
      <c r="J811" t="inlineStr">
        <is>
          <t>Ensure unbreakable bricks do not disappear when hit</t>
        </is>
      </c>
      <c r="K811" t="inlineStr">
        <is>
          <t>确保不可破坏的砖块被击中后不消失</t>
        </is>
      </c>
      <c r="L811" s="2" t="str">
        <f>=HYPERLINK("http://pre.mgx.dev/chat/ce8aa7942f0e40bb8ebd8193870d1948", "http://pre.mgx.dev/chat/ce8aa7942f0e40bb8ebd8193870d1948")</f>
        <v>http://pre.mgx.dev/chat/ce8aa7942f0e40bb8ebd8193870d1948</v>
      </c>
      <c r="M811" s="2" t="str">
        <f>=HYPERLINK("", "https://45774-ce8aa7942f0e40bb8ebd8193870d1948-3-latest.app.beta.mgx.dev")</f>
        <v>https://45774-ce8aa7942f0e40bb8ebd8193870d1948-3-latest.app.beta.mgx.dev</v>
      </c>
      <c r="N811" s="2" t="str">
        <f>=HYPERLINK("mailto:eval_64@auto.com", "eval_64@auto.com")</f>
        <v>eval_64@auto.com</v>
      </c>
      <c r="O811" t="inlineStr">
        <is>
          <t>ce8aa7942f0e40bb8ebd8193870d1948</t>
        </is>
      </c>
    </row>
    <row r="812" ht="25.5" customHeight="1">
      <c r="A812" t="inlineStr">
        <is>
          <t>Block Breaker</t>
        </is>
      </c>
      <c r="B812">
        <v>63</v>
      </c>
      <c r="C812" t="inlineStr">
        <is>
          <t>@杨春玉</t>
        </is>
      </c>
      <c r="D812">
        <v>1</v>
      </c>
      <c r="E812"/>
      <c r="F812" t="inlineStr">
        <is>
          <t>@陈佳杰</t>
        </is>
      </c>
      <c r="G812">
        <v>1</v>
      </c>
      <c r="H812"/>
      <c r="I812">
        <v>9</v>
      </c>
      <c r="J812" t="inlineStr">
        <is>
          <t>Check if the score increases when breaking a brick</t>
        </is>
      </c>
      <c r="K812" t="inlineStr">
        <is>
          <t>检查击碎砖块后分数增加</t>
        </is>
      </c>
      <c r="L812" s="2" t="str">
        <f>=HYPERLINK("http://pre.mgx.dev/chat/ce8aa7942f0e40bb8ebd8193870d1948", "http://pre.mgx.dev/chat/ce8aa7942f0e40bb8ebd8193870d1948")</f>
        <v>http://pre.mgx.dev/chat/ce8aa7942f0e40bb8ebd8193870d1948</v>
      </c>
      <c r="M812" s="2" t="str">
        <f>=HYPERLINK("", "https://45774-ce8aa7942f0e40bb8ebd8193870d1948-3-latest.app.beta.mgx.dev")</f>
        <v>https://45774-ce8aa7942f0e40bb8ebd8193870d1948-3-latest.app.beta.mgx.dev</v>
      </c>
      <c r="N812" s="2" t="str">
        <f>=HYPERLINK("mailto:eval_64@auto.com", "eval_64@auto.com")</f>
        <v>eval_64@auto.com</v>
      </c>
      <c r="O812" t="inlineStr">
        <is>
          <t>ce8aa7942f0e40bb8ebd8193870d1948</t>
        </is>
      </c>
    </row>
    <row r="813" ht="25.5" customHeight="1">
      <c r="A813" t="inlineStr">
        <is>
          <t>Block Breaker</t>
        </is>
      </c>
      <c r="B813">
        <v>63</v>
      </c>
      <c r="C813" t="inlineStr">
        <is>
          <t>@杨春玉</t>
        </is>
      </c>
      <c r="D813">
        <v>1</v>
      </c>
      <c r="E813"/>
      <c r="F813" t="inlineStr">
        <is>
          <t>@陈佳杰</t>
        </is>
      </c>
      <c r="G813">
        <v>1</v>
      </c>
      <c r="H813"/>
      <c r="I813">
        <v>10</v>
      </c>
      <c r="J813" t="inlineStr">
        <is>
          <t>Verify that the current score is displayed on the screen</t>
        </is>
      </c>
      <c r="K813" t="inlineStr">
        <is>
          <t>验证游戏屏幕上展示当前分数</t>
        </is>
      </c>
      <c r="L813" s="2" t="str">
        <f>=HYPERLINK("http://pre.mgx.dev/chat/ce8aa7942f0e40bb8ebd8193870d1948", "http://pre.mgx.dev/chat/ce8aa7942f0e40bb8ebd8193870d1948")</f>
        <v>http://pre.mgx.dev/chat/ce8aa7942f0e40bb8ebd8193870d1948</v>
      </c>
      <c r="M813" s="2" t="str">
        <f>=HYPERLINK("", "https://45774-ce8aa7942f0e40bb8ebd8193870d1948-3-latest.app.beta.mgx.dev")</f>
        <v>https://45774-ce8aa7942f0e40bb8ebd8193870d1948-3-latest.app.beta.mgx.dev</v>
      </c>
      <c r="N813" s="2" t="str">
        <f>=HYPERLINK("mailto:eval_64@auto.com", "eval_64@auto.com")</f>
        <v>eval_64@auto.com</v>
      </c>
      <c r="O813" t="inlineStr">
        <is>
          <t>ce8aa7942f0e40bb8ebd8193870d1948</t>
        </is>
      </c>
    </row>
    <row r="814" ht="25.5" customHeight="1">
      <c r="A814" t="inlineStr">
        <is>
          <t>Block Breaker</t>
        </is>
      </c>
      <c r="B814">
        <v>63</v>
      </c>
      <c r="C814" t="inlineStr">
        <is>
          <t>@杨春玉</t>
        </is>
      </c>
      <c r="D814">
        <v>1</v>
      </c>
      <c r="E814"/>
      <c r="F814" t="inlineStr">
        <is>
          <t>@陈佳杰</t>
        </is>
      </c>
      <c r="G814">
        <v>1</v>
      </c>
      <c r="H814"/>
      <c r="I814">
        <v>11</v>
      </c>
      <c r="J814" t="inlineStr">
        <is>
          <t>Confirm that multiple levels are available</t>
        </is>
      </c>
      <c r="K814" t="inlineStr">
        <is>
          <t>确认游戏提供多个关卡</t>
        </is>
      </c>
      <c r="L814" s="2" t="str">
        <f>=HYPERLINK("http://pre.mgx.dev/chat/ce8aa7942f0e40bb8ebd8193870d1948", "http://pre.mgx.dev/chat/ce8aa7942f0e40bb8ebd8193870d1948")</f>
        <v>http://pre.mgx.dev/chat/ce8aa7942f0e40bb8ebd8193870d1948</v>
      </c>
      <c r="M814" s="2" t="str">
        <f>=HYPERLINK("", "https://45774-ce8aa7942f0e40bb8ebd8193870d1948-3-latest.app.beta.mgx.dev")</f>
        <v>https://45774-ce8aa7942f0e40bb8ebd8193870d1948-3-latest.app.beta.mgx.dev</v>
      </c>
      <c r="N814" s="2" t="str">
        <f>=HYPERLINK("mailto:eval_64@auto.com", "eval_64@auto.com")</f>
        <v>eval_64@auto.com</v>
      </c>
      <c r="O814" t="inlineStr">
        <is>
          <t>ce8aa7942f0e40bb8ebd8193870d1948</t>
        </is>
      </c>
    </row>
    <row r="815" ht="25.5" customHeight="1">
      <c r="A815" t="inlineStr">
        <is>
          <t>Block Breaker</t>
        </is>
      </c>
      <c r="B815">
        <v>63</v>
      </c>
      <c r="C815" t="inlineStr">
        <is>
          <t>@杨春玉</t>
        </is>
      </c>
      <c r="D815">
        <v>1</v>
      </c>
      <c r="E815"/>
      <c r="F815" t="inlineStr">
        <is>
          <t>@陈佳杰</t>
        </is>
      </c>
      <c r="G815">
        <v>1</v>
      </c>
      <c r="H815"/>
      <c r="I815">
        <v>12</v>
      </c>
      <c r="J815" t="inlineStr">
        <is>
          <t>Verify that the game progresses to the next level when all breakable bricks are destroyed</t>
        </is>
      </c>
      <c r="K815" t="inlineStr">
        <is>
          <t>验证击碎所有可破坏砖块后游戏进入下一关</t>
        </is>
      </c>
      <c r="L815" s="2" t="str">
        <f>=HYPERLINK("http://pre.mgx.dev/chat/ce8aa7942f0e40bb8ebd8193870d1948", "http://pre.mgx.dev/chat/ce8aa7942f0e40bb8ebd8193870d1948")</f>
        <v>http://pre.mgx.dev/chat/ce8aa7942f0e40bb8ebd8193870d1948</v>
      </c>
      <c r="M815" s="2" t="str">
        <f>=HYPERLINK("", "https://45774-ce8aa7942f0e40bb8ebd8193870d1948-3-latest.app.beta.mgx.dev")</f>
        <v>https://45774-ce8aa7942f0e40bb8ebd8193870d1948-3-latest.app.beta.mgx.dev</v>
      </c>
      <c r="N815" s="2" t="str">
        <f>=HYPERLINK("mailto:eval_64@auto.com", "eval_64@auto.com")</f>
        <v>eval_64@auto.com</v>
      </c>
      <c r="O815" t="inlineStr">
        <is>
          <t>ce8aa7942f0e40bb8ebd8193870d1948</t>
        </is>
      </c>
    </row>
    <row r="816" ht="25.5" customHeight="1">
      <c r="A816" t="inlineStr">
        <is>
          <t>Block Breaker</t>
        </is>
      </c>
      <c r="B816">
        <v>63</v>
      </c>
      <c r="C816" t="inlineStr">
        <is>
          <t>@杨春玉</t>
        </is>
      </c>
      <c r="D816">
        <v>1</v>
      </c>
      <c r="E816"/>
      <c r="F816" t="inlineStr">
        <is>
          <t>@陈佳杰</t>
        </is>
      </c>
      <c r="G816">
        <v>1</v>
      </c>
      <c r="H816"/>
      <c r="I816">
        <v>13</v>
      </c>
      <c r="J816" t="inlineStr">
        <is>
          <t>Verify that the game can be paused by pressing the designated pause key</t>
        </is>
      </c>
      <c r="K816" t="inlineStr">
        <is>
          <t>验证按下指定的暂停键可暂停游戏</t>
        </is>
      </c>
      <c r="L816" s="2" t="str">
        <f>=HYPERLINK("http://pre.mgx.dev/chat/ce8aa7942f0e40bb8ebd8193870d1948", "http://pre.mgx.dev/chat/ce8aa7942f0e40bb8ebd8193870d1948")</f>
        <v>http://pre.mgx.dev/chat/ce8aa7942f0e40bb8ebd8193870d1948</v>
      </c>
      <c r="M816" s="2" t="str">
        <f>=HYPERLINK("", "https://45774-ce8aa7942f0e40bb8ebd8193870d1948-3-latest.app.beta.mgx.dev")</f>
        <v>https://45774-ce8aa7942f0e40bb8ebd8193870d1948-3-latest.app.beta.mgx.dev</v>
      </c>
      <c r="N816" s="2" t="str">
        <f>=HYPERLINK("mailto:eval_64@auto.com", "eval_64@auto.com")</f>
        <v>eval_64@auto.com</v>
      </c>
      <c r="O816" t="inlineStr">
        <is>
          <t>ce8aa7942f0e40bb8ebd8193870d1948</t>
        </is>
      </c>
    </row>
    <row r="817" ht="25.5" customHeight="1">
      <c r="A817" t="inlineStr">
        <is>
          <t>Block Breaker</t>
        </is>
      </c>
      <c r="B817">
        <v>63</v>
      </c>
      <c r="C817" t="inlineStr">
        <is>
          <t>@杨春玉</t>
        </is>
      </c>
      <c r="D817">
        <v>1</v>
      </c>
      <c r="E817"/>
      <c r="F817" t="inlineStr">
        <is>
          <t>@陈佳杰</t>
        </is>
      </c>
      <c r="G817">
        <v>1</v>
      </c>
      <c r="H817"/>
      <c r="I817">
        <v>14</v>
      </c>
      <c r="J817" t="inlineStr">
        <is>
          <t>Check if the game resumes when unpausing</t>
        </is>
      </c>
      <c r="K817" t="inlineStr">
        <is>
          <t>检查取消暂停后游戏恢复运行</t>
        </is>
      </c>
      <c r="L817" s="2" t="str">
        <f>=HYPERLINK("http://pre.mgx.dev/chat/ce8aa7942f0e40bb8ebd8193870d1948", "http://pre.mgx.dev/chat/ce8aa7942f0e40bb8ebd8193870d1948")</f>
        <v>http://pre.mgx.dev/chat/ce8aa7942f0e40bb8ebd8193870d1948</v>
      </c>
      <c r="M817" s="2" t="str">
        <f>=HYPERLINK("", "https://45774-ce8aa7942f0e40bb8ebd8193870d1948-3-latest.app.beta.mgx.dev")</f>
        <v>https://45774-ce8aa7942f0e40bb8ebd8193870d1948-3-latest.app.beta.mgx.dev</v>
      </c>
      <c r="N817" s="2" t="str">
        <f>=HYPERLINK("mailto:eval_64@auto.com", "eval_64@auto.com")</f>
        <v>eval_64@auto.com</v>
      </c>
      <c r="O817" t="inlineStr">
        <is>
          <t>ce8aa7942f0e40bb8ebd8193870d1948</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